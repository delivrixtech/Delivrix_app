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en" sheetId="1" state="visible" r:id="rId3"/>
    <sheet name="2. Hardware Físico" sheetId="2" state="visible" r:id="rId4"/>
    <sheet name="3. Almacenamiento" sheetId="3" state="visible" r:id="rId5"/>
    <sheet name="4. Software &amp; VMs" sheetId="4" state="visible" r:id="rId6"/>
    <sheet name="5. Red &amp; Accesos" sheetId="5" state="visible" r:id="rId7"/>
    <sheet name="6. Garantía &amp; Soporte" sheetId="6" state="visible" r:id="rId8"/>
    <sheet name="7. Rack &amp; Crecimiento" sheetId="7" state="visible" r:id="rId9"/>
    <sheet name="8. Pendientes" sheetId="8" state="visible" r:id="rId10"/>
    <sheet name="9. Cables &amp; Accesori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<sst xmlns="http://schemas.openxmlformats.org/spreadsheetml/2006/main" count="745" uniqueCount="584">
  <si>
    <t xml:space="preserve">INVENTARIO INFRAESTRUCTURA FÍSICA — PROYECTO DELIVRIX</t>
  </si>
  <si>
    <t xml:space="preserve">Actualización: 2026-05-21 (auditada)  |  Responsable: Juanes  |  Origen: PDF DEICO Sep 2025 + 24 fotos analizadas</t>
  </si>
  <si>
    <t xml:space="preserve">Servidor principal</t>
  </si>
  <si>
    <t xml:space="preserve">IBM System x3630 M4 — MT 7158-AC1 (S/N 069VRFW) — 2U rackmount</t>
  </si>
  <si>
    <t xml:space="preserve">Año de fabricación servidor</t>
  </si>
  <si>
    <t xml:space="preserve">2014-04-28 (≈12 años en operación)</t>
  </si>
  <si>
    <t xml:space="preserve">Dimensiones servidor (confirmado)</t>
  </si>
  <si>
    <t xml:space="preserve">75 × 45 × ~9 cm  (750 × 450 × 89 mm — 2U estándar 19")</t>
  </si>
  <si>
    <t xml:space="preserve">Almacenamiento total instalado</t>
  </si>
  <si>
    <t xml:space="preserve">≈ 3.92 TB (2×SSD 960GB + 2×HDD 1TB)</t>
  </si>
  <si>
    <t xml:space="preserve">VMs activas en Proxmox</t>
  </si>
  <si>
    <t xml:space="preserve">2 (Base Datos en 192.168.1.5 + AppWeb en 192.168.1.6)</t>
  </si>
  <si>
    <t xml:space="preserve">Hipervisor</t>
  </si>
  <si>
    <t xml:space="preserve">Proxmox VE 8.4 sobre Ubuntu 24.04.3 LTS · kernel 6.14.0-29-generic</t>
  </si>
  <si>
    <t xml:space="preserve">Fuentes de poder servidor</t>
  </si>
  <si>
    <t xml:space="preserve">2 × 550W AC redundantes hot-swap (1+1)</t>
  </si>
  <si>
    <t xml:space="preserve">UPS único del proyecto</t>
  </si>
  <si>
    <t xml:space="preserve">Netion VTM02KVA · 2KVA / 1800W · 110-127VAC · 60Hz · 16.5A máx</t>
  </si>
  <si>
    <t xml:space="preserve">Router único del proyecto</t>
  </si>
  <si>
    <t xml:space="preserve">Mikrotik CCR2004-16G-2S+ · 16×GbE + 2×SFP+10G · 1U · Dual PSU</t>
  </si>
  <si>
    <t xml:space="preserve">Total equipos físicos del proyecto</t>
  </si>
  <si>
    <t xml:space="preserve">4 equipos + 4 discos internos</t>
  </si>
  <si>
    <t xml:space="preserve">Ubicación física actual</t>
  </si>
  <si>
    <t xml:space="preserve">Medellín, Colombia</t>
  </si>
  <si>
    <t xml:space="preserve">VPN sitio-remoto</t>
  </si>
  <si>
    <t xml:space="preserve">Medellín ↔ Miami FL (425 W Park Dr Apt 6, FL 33172) — VPN SSL</t>
  </si>
  <si>
    <t xml:space="preserve">EQUIPOS DEL PROYECTO DELIVRIX</t>
  </si>
  <si>
    <t xml:space="preserve">#</t>
  </si>
  <si>
    <t xml:space="preserve">Equipo</t>
  </si>
  <si>
    <t xml:space="preserve">Rol</t>
  </si>
  <si>
    <t xml:space="preserve">Estado</t>
  </si>
  <si>
    <t xml:space="preserve">Ubicación</t>
  </si>
  <si>
    <t xml:space="preserve">Va al rack?</t>
  </si>
  <si>
    <t xml:space="preserve">Servidor IBM System x3630 M4 (2U)</t>
  </si>
  <si>
    <t xml:space="preserve">Host Proxmox · virtualización · 2 VMs</t>
  </si>
  <si>
    <t xml:space="preserve">Producción (legacy 2014)</t>
  </si>
  <si>
    <t xml:space="preserve">Medellín — oficina</t>
  </si>
  <si>
    <t xml:space="preserve">Sí (2U atornillado a rieles)</t>
  </si>
  <si>
    <t xml:space="preserve">UPS Netion VTM02KVA (2KVA / 1800W)</t>
  </si>
  <si>
    <t xml:space="preserve">Respaldo eléctrico online</t>
  </si>
  <si>
    <t xml:space="preserve">Operativo</t>
  </si>
  <si>
    <t xml:space="preserve">Medellín</t>
  </si>
  <si>
    <t xml:space="preserve">Lateral piso O 3U interior</t>
  </si>
  <si>
    <t xml:space="preserve">Router Mikrotik CCR2004-16G-2S+</t>
  </si>
  <si>
    <t xml:space="preserve">Gateway · firewall · VPN SSL</t>
  </si>
  <si>
    <t xml:space="preserve">Producción</t>
  </si>
  <si>
    <t xml:space="preserve">Sí (1U)</t>
  </si>
  <si>
    <t xml:space="preserve">Laptop Lenovo LOQ 16IAX9</t>
  </si>
  <si>
    <t xml:space="preserve">Estación de desarrollo (Kali)</t>
  </si>
  <si>
    <t xml:space="preserve">Móvil — Juanes</t>
  </si>
  <si>
    <t xml:space="preserve">No (equipo móvil)</t>
  </si>
  <si>
    <t xml:space="preserve">ACLARACIONES (confirmadas con Juanes 2026-05-21):</t>
  </si>
  <si>
    <t xml:space="preserve">→ Solo hay 1 UPS en el proyecto (Netion VTM02KVA). NO existe un segundo UPS.</t>
  </si>
  <si>
    <t xml:space="preserve">→ Solo hay 1 computadora Lenovo (el laptop LOQ 16IAX9). NO hay mini-PC SFF auxiliar.</t>
  </si>
  <si>
    <t xml:space="preserve">→ Monitor Samsung curvo visible en fotos NO va al inventario (equipo personal de Juanes).</t>
  </si>
  <si>
    <t xml:space="preserve">→ ZBOX Tableros Keywater y diagramas TODO/PAGO/UNSUB del PDF DEICO son de otro proyecto (CITADEL), no Delivrix.</t>
  </si>
  <si>
    <t xml:space="preserve">LEYENDA DE COLORES</t>
  </si>
  <si>
    <t xml:space="preserve">Confirmado por etiqueta/foto</t>
  </si>
  <si>
    <t xml:space="preserve">Pendiente (dato no legible o sin acceso)</t>
  </si>
  <si>
    <t xml:space="preserve">VENCIDO / Crítico</t>
  </si>
  <si>
    <t xml:space="preserve">Recomendación</t>
  </si>
  <si>
    <t xml:space="preserve">HARDWARE FÍSICO — COMPONENTES Y ESPECIFICACIONES</t>
  </si>
  <si>
    <t xml:space="preserve">ID</t>
  </si>
  <si>
    <t xml:space="preserve">Componente</t>
  </si>
  <si>
    <t xml:space="preserve">Marca / Modelo</t>
  </si>
  <si>
    <t xml:space="preserve">Especificación</t>
  </si>
  <si>
    <t xml:space="preserve">Cant.</t>
  </si>
  <si>
    <t xml:space="preserve">Serial / ID</t>
  </si>
  <si>
    <t xml:space="preserve">Notas</t>
  </si>
  <si>
    <t xml:space="preserve">HW-01</t>
  </si>
  <si>
    <t xml:space="preserve">Servidor (chasis 2U)</t>
  </si>
  <si>
    <t xml:space="preserve">IBM System x3630 M4 — MT 7158-AC1, Product ID 7158EBR</t>
  </si>
  <si>
    <t xml:space="preserve">Chasis 2U rackmount 19" · 75×45×8.9 cm · Peso ≥18 kg vacío (≥25 kg cargado) · Mfg 2014-04-28</t>
  </si>
  <si>
    <t xml:space="preserve">S/N 069VRFW</t>
  </si>
  <si>
    <t xml:space="preserve">Operativo (legacy)</t>
  </si>
  <si>
    <t xml:space="preserve">Host Proxmox VE 8.4 / Ubuntu 24.04.3 LTS. Garantía IBM original vencida hace ~9 años. Equipo en EoL/EoS de fábrica.</t>
  </si>
  <si>
    <t xml:space="preserve">HW-02</t>
  </si>
  <si>
    <t xml:space="preserve">CPU(s)</t>
  </si>
  <si>
    <t xml:space="preserve">Intel Xeon E5-2400 series v1/v2 (socket LGA1356)</t>
  </si>
  <si>
    <t xml:space="preserve">Plataforma x3630 M4 soporta 1 o 2 sockets · 4-8 cores por socket · 2.0-2.6 GHz típicos</t>
  </si>
  <si>
    <t xml:space="preserve">1 o 2</t>
  </si>
  <si>
    <t xml:space="preserve">POR VERIFICAR</t>
  </si>
  <si>
    <t xml:space="preserve">Verificar con `lscpu` y `dmidecode -t processor` cuántos sockets están ocupados y modelo exacto.</t>
  </si>
  <si>
    <t xml:space="preserve">HW-03</t>
  </si>
  <si>
    <t xml:space="preserve">RAM</t>
  </si>
  <si>
    <t xml:space="preserve">DDR3 ECC RDIMM</t>
  </si>
  <si>
    <t xml:space="preserve">Hasta 12 slots DIMM en x3630 M4 · módulos 4/8/16/32 GB DDR3-1333/1600 · máx 384 GB</t>
  </si>
  <si>
    <t xml:space="preserve">1 banco</t>
  </si>
  <si>
    <t xml:space="preserve">Verificar con `sudo dmidecode -t memory | grep -E 'Size|Type:|Speed'` tamaño total y módulos instalados.</t>
  </si>
  <si>
    <t xml:space="preserve">HW-04</t>
  </si>
  <si>
    <t xml:space="preserve">Fuentes de poder</t>
  </si>
  <si>
    <t xml:space="preserve">IBM 550W AC hot-swap (par redundante)</t>
  </si>
  <si>
    <t xml:space="preserve">550W AC c/u · configuración 1+1 redundante · entrada IEC C14 con palanca naranja</t>
  </si>
  <si>
    <t xml:space="preserve">Si una falla, el servidor sigue operando. Visible en IMG_4411. Verificar baterías RAID/CMOS internas.</t>
  </si>
  <si>
    <t xml:space="preserve">HW-05</t>
  </si>
  <si>
    <t xml:space="preserve">Disco SSD interno</t>
  </si>
  <si>
    <t xml:space="preserve">POR VERIFICAR (marca/modelo)</t>
  </si>
  <si>
    <t xml:space="preserve">960 GB SSD SATA 2.5" — bahía hot-swap IBM</t>
  </si>
  <si>
    <t xml:space="preserve">Local-kvm Proxmox. VM Base Datos: 440GB · VM AppWeb: 300GB · Hipervisor: pve-root 96G + swap 8G + meta 7.7G. Verificar con `smartctl -i`.</t>
  </si>
  <si>
    <t xml:space="preserve">HW-06</t>
  </si>
  <si>
    <t xml:space="preserve">Disco HDD interno</t>
  </si>
  <si>
    <t xml:space="preserve">1 TB HDD 2.5" — bahía hot-swap IBM</t>
  </si>
  <si>
    <t xml:space="preserve">Recurso /Datos (495 GB usado) + /Datos2 (375 GB backups VM). Compartido en 192.168.1.10.</t>
  </si>
  <si>
    <t xml:space="preserve">HW-07</t>
  </si>
  <si>
    <t xml:space="preserve">Unidades ópticas (ODD)</t>
  </si>
  <si>
    <t xml:space="preserve">IBM Slim DVD</t>
  </si>
  <si>
    <t xml:space="preserve">2 unidades ópticas slim frontales (DVD-RW + DVD-ROM)</t>
  </si>
  <si>
    <t xml:space="preserve">—</t>
  </si>
  <si>
    <t xml:space="preserve">Visibles en IMG_4410. Útiles para boot/recovery legacy.</t>
  </si>
  <si>
    <t xml:space="preserve">HW-08</t>
  </si>
  <si>
    <t xml:space="preserve">UPS Online (torre)</t>
  </si>
  <si>
    <t xml:space="preserve">Netion VTM02KVA</t>
  </si>
  <si>
    <t xml:space="preserve">2KVA / 1800W · Entrada 110-127VAC · Salida 110-127VAC (1F+N+T) · 16.5A máx · 60Hz · Icw 3kA · Online doble conversión · Display LCD + 3 botones</t>
  </si>
  <si>
    <t xml:space="preserve">S/N 832124075004 46</t>
  </si>
  <si>
    <t xml:space="preserve">★ ÚNICO UPS del proyecto. Capacidad ideal: servidor IBM 2U (~300W) + Mikrotik (~25W) + switch futuro. Confirmar autonomía real con prueba de descarga.</t>
  </si>
  <si>
    <t xml:space="preserve">HW-09</t>
  </si>
  <si>
    <t xml:space="preserve">Router / Firewall</t>
  </si>
  <si>
    <t xml:space="preserve">Mikrotik CCR2004-16G-2S+ (Cloud Core Router)</t>
  </si>
  <si>
    <t xml:space="preserve">1U rackmount · 16×RJ45 Gigabit Ethernet + 2×SFP+ 10G · USB-A 3.0 · Console RJ45 · LEDs USER/FAULT/PWR1/PWR2 · Dual PSU · CPU AL32400 4-core ARM 1.7GHz · 4GB RAM · RouterOS 7</t>
  </si>
  <si>
    <t xml:space="preserve">S/N HJS0ATZSNPF/r3 · MAC E01 04:F4:1C:39:00:28</t>
  </si>
  <si>
    <t xml:space="preserve">Modelo top de gama Mikrotik. Throughput ~10 Gbps total. Fabricado en Riga, Latvia. Overkill para hoy pero perfecto para crecer.</t>
  </si>
  <si>
    <t xml:space="preserve">HW-10</t>
  </si>
  <si>
    <t xml:space="preserve">Estación de desarrollo</t>
  </si>
  <si>
    <t xml:space="preserve">Lenovo LOQ 16IAX9 (Made in China)</t>
  </si>
  <si>
    <t xml:space="preserve">Intel Core 14ª gen (i5-14450HX o i7-14650HX) + NVIDIA GeForce RTX 4050/4060 · 16" · RAM DDR5 · Kali Linux · Input 20V/8.5A · Mfg 2025-03-01</t>
  </si>
  <si>
    <t xml:space="preserve">S/N MP2R60D8 · MTM 83... (verificar dígitos)</t>
  </si>
  <si>
    <t xml:space="preserve">Equipo móvil de Juanes para dev Delivrix. NO va al rack. Cargador Lenovo 170W ADL170SCC2A.</t>
  </si>
  <si>
    <t xml:space="preserve">ALMACENAMIENTO — CAPACIDAD, USO Y DISTRIBUCIÓN</t>
  </si>
  <si>
    <t xml:space="preserve">Tipo</t>
  </si>
  <si>
    <t xml:space="preserve">Capacidad nominal (GB)</t>
  </si>
  <si>
    <t xml:space="preserve">Asignado a</t>
  </si>
  <si>
    <t xml:space="preserve">Uso documentado (GB)</t>
  </si>
  <si>
    <t xml:space="preserve">% Uso</t>
  </si>
  <si>
    <t xml:space="preserve">SSD 1</t>
  </si>
  <si>
    <t xml:space="preserve">Hipervisor + VMs (local-kvm)</t>
  </si>
  <si>
    <t xml:space="preserve">Almacenamiento principal Proxmox</t>
  </si>
  <si>
    <t xml:space="preserve">SSD 2</t>
  </si>
  <si>
    <t xml:space="preserve">Espejo/redundancia o expansión — verificar config RAID</t>
  </si>
  <si>
    <t xml:space="preserve">HDD 1</t>
  </si>
  <si>
    <t xml:space="preserve">/Datos (compartido 192.168.1.10)</t>
  </si>
  <si>
    <t xml:space="preserve">Recurso /Datos · user: userdata · 495 GB usado</t>
  </si>
  <si>
    <t xml:space="preserve">HDD 2</t>
  </si>
  <si>
    <t xml:space="preserve">/Datos2 (backups VM)</t>
  </si>
  <si>
    <t xml:space="preserve">Recurso /Datos2 · backups máquinas virtuales · 375 GB usado</t>
  </si>
  <si>
    <t xml:space="preserve">TOTAL</t>
  </si>
  <si>
    <t xml:space="preserve">DISTRIBUCIÓN INTERNA — VMs Y PARTICIONES</t>
  </si>
  <si>
    <t xml:space="preserve">VM / Partición</t>
  </si>
  <si>
    <t xml:space="preserve">Disco lógico</t>
  </si>
  <si>
    <t xml:space="preserve">Storage backend</t>
  </si>
  <si>
    <t xml:space="preserve">Tamaño (GB)</t>
  </si>
  <si>
    <t xml:space="preserve">Punto montaje</t>
  </si>
  <si>
    <t xml:space="preserve">VM 100 Base Datos</t>
  </si>
  <si>
    <t xml:space="preserve">sata0</t>
  </si>
  <si>
    <t xml:space="preserve">local-kvm-vm-100-disk-0</t>
  </si>
  <si>
    <t xml:space="preserve">VM Disk</t>
  </si>
  <si>
    <t xml:space="preserve">Servidor BD · ssh userdatos@192.168.1.5</t>
  </si>
  <si>
    <t xml:space="preserve">VM 101 AppWeb</t>
  </si>
  <si>
    <t xml:space="preserve">local-kvm-vm-101-disk-0</t>
  </si>
  <si>
    <t xml:space="preserve">Servidor App · ssh userapp@192.168.1.6</t>
  </si>
  <si>
    <t xml:space="preserve">Hipervisor (pve)</t>
  </si>
  <si>
    <t xml:space="preserve">pve-root</t>
  </si>
  <si>
    <t xml:space="preserve">LVM</t>
  </si>
  <si>
    <t xml:space="preserve">LVM root</t>
  </si>
  <si>
    <t xml:space="preserve">/</t>
  </si>
  <si>
    <t xml:space="preserve">Sistema Proxmox</t>
  </si>
  <si>
    <t xml:space="preserve">pve-swap</t>
  </si>
  <si>
    <t xml:space="preserve">LVM swap</t>
  </si>
  <si>
    <t xml:space="preserve">SWAP</t>
  </si>
  <si>
    <t xml:space="preserve">Swap del host</t>
  </si>
  <si>
    <t xml:space="preserve">pve-data_meta</t>
  </si>
  <si>
    <t xml:space="preserve">LVM meta</t>
  </si>
  <si>
    <t xml:space="preserve">Metadata del thin pool</t>
  </si>
  <si>
    <t xml:space="preserve">SOFTWARE — HIPERVISOR Y MÁQUINAS VIRTUALES</t>
  </si>
  <si>
    <t xml:space="preserve">Capa</t>
  </si>
  <si>
    <t xml:space="preserve">Nombre / Rol</t>
  </si>
  <si>
    <t xml:space="preserve">Sistema Operativo</t>
  </si>
  <si>
    <t xml:space="preserve">Versión</t>
  </si>
  <si>
    <t xml:space="preserve">Host</t>
  </si>
  <si>
    <t xml:space="preserve">Hipervisor (192.168.1.10)</t>
  </si>
  <si>
    <t xml:space="preserve">Ubuntu Server + Proxmox VE</t>
  </si>
  <si>
    <t xml:space="preserve">Ubuntu 24.04.3 LTS · Proxmox VE 8.4 · Kernel 6.14.0-29-generic x86_64</t>
  </si>
  <si>
    <t xml:space="preserve">Web UI: https://192.168.1.10:8006 · root / vsa2025</t>
  </si>
  <si>
    <t xml:space="preserve">VM 100</t>
  </si>
  <si>
    <t xml:space="preserve">Servidor Base de Datos</t>
  </si>
  <si>
    <t xml:space="preserve">Linux POR VERIFICAR</t>
  </si>
  <si>
    <t xml:space="preserve">ssh userdatos@192.168.1.5 · 440 GB · motor BD POR VERIFICAR</t>
  </si>
  <si>
    <t xml:space="preserve">VM 101</t>
  </si>
  <si>
    <t xml:space="preserve">Servidor Application Web</t>
  </si>
  <si>
    <t xml:space="preserve">Ubuntu Linux</t>
  </si>
  <si>
    <t xml:space="preserve">ssh userapp@192.168.1.6 · 300 GB · stack web Delivrix</t>
  </si>
  <si>
    <t xml:space="preserve">Edge</t>
  </si>
  <si>
    <t xml:space="preserve">Mikrotik CCR2004-16G-2S+</t>
  </si>
  <si>
    <t xml:space="preserve">RouterOS 7</t>
  </si>
  <si>
    <t xml:space="preserve">ssh admin@192.168.88.1 · NAT, firewall, VPN SSL Medellín↔Miami</t>
  </si>
  <si>
    <t xml:space="preserve">Dev</t>
  </si>
  <si>
    <t xml:space="preserve">Kali Linux</t>
  </si>
  <si>
    <t xml:space="preserve">Equipo móvil Juanes · no expone servicios</t>
  </si>
  <si>
    <t xml:space="preserve">RED Y ACCESOS — IPs, USUARIOS, CREDENCIALES</t>
  </si>
  <si>
    <t xml:space="preserve">⚠ Documento sensible. Mover credenciales a Bitwarden/1Password antes de compartir.</t>
  </si>
  <si>
    <t xml:space="preserve">Servicio</t>
  </si>
  <si>
    <t xml:space="preserve">IP / URL</t>
  </si>
  <si>
    <t xml:space="preserve">Puerto</t>
  </si>
  <si>
    <t xml:space="preserve">Usuario</t>
  </si>
  <si>
    <t xml:space="preserve">Password / Notas</t>
  </si>
  <si>
    <t xml:space="preserve">Proxmox Web UI</t>
  </si>
  <si>
    <t xml:space="preserve">Hipervisor IBM</t>
  </si>
  <si>
    <t xml:space="preserve">https://192.168.1.10:8006</t>
  </si>
  <si>
    <t xml:space="preserve">root</t>
  </si>
  <si>
    <t xml:space="preserve">vsa/2025</t>
  </si>
  <si>
    <t xml:space="preserve">SSH Base Datos</t>
  </si>
  <si>
    <t xml:space="preserve">192.168.1.5</t>
  </si>
  <si>
    <t xml:space="preserve">userdatos</t>
  </si>
  <si>
    <t xml:space="preserve">vsa/2025 · alt: cdrom62018</t>
  </si>
  <si>
    <t xml:space="preserve">SSH AppWeb</t>
  </si>
  <si>
    <t xml:space="preserve">192.168.1.6</t>
  </si>
  <si>
    <t xml:space="preserve">userapp</t>
  </si>
  <si>
    <t xml:space="preserve">Mikrotik Admin</t>
  </si>
  <si>
    <t xml:space="preserve">Router CCR2004</t>
  </si>
  <si>
    <t xml:space="preserve">192.168.88.1</t>
  </si>
  <si>
    <t xml:space="preserve">admin</t>
  </si>
  <si>
    <t xml:space="preserve">70907499 12655</t>
  </si>
  <si>
    <t xml:space="preserve">/Datos (SMB/NFS)</t>
  </si>
  <si>
    <t xml:space="preserve">192.168.1.10</t>
  </si>
  <si>
    <t xml:space="preserve">userdata</t>
  </si>
  <si>
    <t xml:space="preserve">data2025 · recurso /Datos · 495 GB</t>
  </si>
  <si>
    <t xml:space="preserve">/Datos2 (Backups)</t>
  </si>
  <si>
    <t xml:space="preserve">vsa/2025 · recurso /Datos2 · 375 GB</t>
  </si>
  <si>
    <t xml:space="preserve">VPN SSL</t>
  </si>
  <si>
    <t xml:space="preserve">Medellín ↔ Miami</t>
  </si>
  <si>
    <t xml:space="preserve">Sitio remoto: 425 W Park Dr Apt 6, Miami FL 33172</t>
  </si>
  <si>
    <t xml:space="preserve">Salida Internet</t>
  </si>
  <si>
    <t xml:space="preserve">Tigo (ISP Medellín)</t>
  </si>
  <si>
    <t xml:space="preserve">IP pública POR VERIFICAR</t>
  </si>
  <si>
    <t xml:space="preserve">Verificar plan contratado y SLA</t>
  </si>
  <si>
    <t xml:space="preserve">GARANTÍAS Y CONTRATOS DE SOPORTE</t>
  </si>
  <si>
    <t xml:space="preserve">Garantías DEICO según albarán Sep 2025: 3 meses discos/fuentes/baterías · 5 meses resto. TODAS VENCIDAS.</t>
  </si>
  <si>
    <t xml:space="preserve">Proveedor</t>
  </si>
  <si>
    <t xml:space="preserve">Fecha entrega</t>
  </si>
  <si>
    <t xml:space="preserve">Duración garantía</t>
  </si>
  <si>
    <t xml:space="preserve">Vencimiento</t>
  </si>
  <si>
    <t xml:space="preserve">Servidor IBM (chasis / fábrica original 2014)</t>
  </si>
  <si>
    <t xml:space="preserve">IBM/Lenovo</t>
  </si>
  <si>
    <t xml:space="preserve">2014-04-28</t>
  </si>
  <si>
    <t xml:space="preserve">3 años IBM ServicePac (original)</t>
  </si>
  <si>
    <t xml:space="preserve">2017-04-28</t>
  </si>
  <si>
    <t xml:space="preserve">VENCIDA hace ~9 años — equipo en EoL/EoS</t>
  </si>
  <si>
    <t xml:space="preserve">Servidor IBM (reacondicionado vía DEICO)</t>
  </si>
  <si>
    <t xml:space="preserve">DEICO Grupo Empresarial</t>
  </si>
  <si>
    <t xml:space="preserve">2025-09-02</t>
  </si>
  <si>
    <t xml:space="preserve">5 meses</t>
  </si>
  <si>
    <t xml:space="preserve">2026-02-02</t>
  </si>
  <si>
    <t xml:space="preserve">VENCIDA — renegociar SLA con DEICO</t>
  </si>
  <si>
    <t xml:space="preserve">Discos SSD 960 GB (x2)</t>
  </si>
  <si>
    <t xml:space="preserve">3 meses</t>
  </si>
  <si>
    <t xml:space="preserve">2025-12-02</t>
  </si>
  <si>
    <t xml:space="preserve">VENCIDA — backup crítico</t>
  </si>
  <si>
    <t xml:space="preserve">Discos HDD 1 TB (x2)</t>
  </si>
  <si>
    <t xml:space="preserve">Fuentes 550W AC (x2)</t>
  </si>
  <si>
    <t xml:space="preserve">VENCIDA — redundancia 1+1 mitiga</t>
  </si>
  <si>
    <t xml:space="preserve">UPS Netion VTM02KVA</t>
  </si>
  <si>
    <t xml:space="preserve">DEICO/Netion</t>
  </si>
  <si>
    <t xml:space="preserve">3 meses (baterías)</t>
  </si>
  <si>
    <t xml:space="preserve">VENCIDA — probar autonomía real</t>
  </si>
  <si>
    <t xml:space="preserve">VENCIDA</t>
  </si>
  <si>
    <t xml:space="preserve">Lenovo (fabricante)</t>
  </si>
  <si>
    <t xml:space="preserve">2025-03-01 (Mfg)</t>
  </si>
  <si>
    <t xml:space="preserve">1 año fabricante (típico)</t>
  </si>
  <si>
    <t xml:space="preserve">2026-03-01</t>
  </si>
  <si>
    <t xml:space="preserve">VENCIDA o por vencer · verificar factura</t>
  </si>
  <si>
    <t xml:space="preserve">DIMENSIONAMIENTO DE RACK Y PLAN DE CRECIMIENTO</t>
  </si>
  <si>
    <t xml:space="preserve">★ DIMENSIONES REALES CONFIRMADAS (Juanes 2026-05-21)</t>
  </si>
  <si>
    <t xml:space="preserve">Servidor IBM x3630 M4: 75 cm profundidad × 45 cm ancho × 8.9 cm alto (2U estándar)</t>
  </si>
  <si>
    <t xml:space="preserve">→ Rack NECESITA profundidad útil ≥80 cm. Profundidad 60 cm queda DESCARTADA. Recomendado 100 cm para gestión de cables.</t>
  </si>
  <si>
    <t xml:space="preserve">→ Ancho 45 cm = chasis sin orejas. Con orejas montadas pasa a ~48.5 cm, encaja en cualquier rack 19".</t>
  </si>
  <si>
    <t xml:space="preserve">INVENTARIO EN UNIDADES DE RACK (U)</t>
  </si>
  <si>
    <t xml:space="preserve">Forma</t>
  </si>
  <si>
    <t xml:space="preserve">Va en rack?</t>
  </si>
  <si>
    <t xml:space="preserve">U hoy</t>
  </si>
  <si>
    <t xml:space="preserve">U futuro</t>
  </si>
  <si>
    <t xml:space="preserve">Cant futuro</t>
  </si>
  <si>
    <t xml:space="preserve">Total U futuro</t>
  </si>
  <si>
    <t xml:space="preserve">Servidor IBM System x3630 M4</t>
  </si>
  <si>
    <t xml:space="preserve">2U rackmount estándar 19"</t>
  </si>
  <si>
    <t xml:space="preserve">Sí (atornillado a rieles)</t>
  </si>
  <si>
    <t xml:space="preserve">Torre online</t>
  </si>
  <si>
    <t xml:space="preserve">Lateral piso O 3U interior con bandeja</t>
  </si>
  <si>
    <t xml:space="preserve">1U rackmount</t>
  </si>
  <si>
    <t xml:space="preserve">Sí (1U atornillado)</t>
  </si>
  <si>
    <t xml:space="preserve">Switch gestionado 24p Gigabit (futuro)</t>
  </si>
  <si>
    <t xml:space="preserve">Patch Panel 24p Cat6 (futuro)</t>
  </si>
  <si>
    <t xml:space="preserve">PDU vertical 8 tomas C13 (futuro)</t>
  </si>
  <si>
    <t xml:space="preserve">Vertical 0U</t>
  </si>
  <si>
    <t xml:space="preserve">Sí (cero U si es vertical)</t>
  </si>
  <si>
    <t xml:space="preserve">Organizadores cables horizontales (futuro)</t>
  </si>
  <si>
    <t xml:space="preserve">Sí (1U c/u)</t>
  </si>
  <si>
    <t xml:space="preserve">Servidores adicionales (crecimiento futuro)</t>
  </si>
  <si>
    <t xml:space="preserve">Rackmount 1U/2U</t>
  </si>
  <si>
    <t xml:space="preserve">Sí</t>
  </si>
  <si>
    <t xml:space="preserve">TOTAL U</t>
  </si>
  <si>
    <t xml:space="preserve">+ Margen crecimiento 30% (recomendado)</t>
  </si>
  <si>
    <t xml:space="preserve">U TOTALES RECOMENDADAS (suma + margen)</t>
  </si>
  <si>
    <t xml:space="preserve">OPCIONES DE RACK RECOMENDADAS (cerrado 19", profundidad ≥80 cm)</t>
  </si>
  <si>
    <t xml:space="preserve">Escenario</t>
  </si>
  <si>
    <t xml:space="preserve">Modelo sugerido</t>
  </si>
  <si>
    <t xml:space="preserve">Altura (U)</t>
  </si>
  <si>
    <t xml:space="preserve">Dimensiones aprox (mm)</t>
  </si>
  <si>
    <t xml:space="preserve">Eléctrico</t>
  </si>
  <si>
    <t xml:space="preserve">Precio aprox (USD)</t>
  </si>
  <si>
    <t xml:space="preserve">Cuándo elegirlo</t>
  </si>
  <si>
    <t xml:space="preserve">Mínimo absoluto</t>
  </si>
  <si>
    <t xml:space="preserve">Rack cerrado 15U pie 600×800</t>
  </si>
  <si>
    <t xml:space="preserve">15U</t>
  </si>
  <si>
    <t xml:space="preserve">600 × 800 × 800</t>
  </si>
  <si>
    <t xml:space="preserve">1 PDU 8 tomas</t>
  </si>
  <si>
    <t xml:space="preserve">350 – 550</t>
  </si>
  <si>
    <t xml:space="preserve">Solo IBM 2U + Mikrotik + UPS al piso. No deja espacio para crecer.</t>
  </si>
  <si>
    <t xml:space="preserve">MVP apretado</t>
  </si>
  <si>
    <t xml:space="preserve">Rack cerrado 22U pie 600×1000</t>
  </si>
  <si>
    <t xml:space="preserve">22U</t>
  </si>
  <si>
    <t xml:space="preserve">600 × 1000 × 1166</t>
  </si>
  <si>
    <t xml:space="preserve">1-2 PDU vertical</t>
  </si>
  <si>
    <t xml:space="preserve">650 – 950</t>
  </si>
  <si>
    <t xml:space="preserve">Cubre IBM 2U + 3 servidores + switch + patch + UPS interno. Profundidad 1000mm crítica para el IBM 2U (mide ~750mm).</t>
  </si>
  <si>
    <t xml:space="preserve">★ Recomendado (margen real)</t>
  </si>
  <si>
    <t xml:space="preserve">Rack cerrado 27U pie 600×1000</t>
  </si>
  <si>
    <t xml:space="preserve">27U</t>
  </si>
  <si>
    <t xml:space="preserve">600 × 1000 × 1400</t>
  </si>
  <si>
    <t xml:space="preserve">2 PDU vertical</t>
  </si>
  <si>
    <t xml:space="preserve">950 – 1400</t>
  </si>
  <si>
    <t xml:space="preserve">Cubre IBM 2U actual + 4-6 servidores + storage NAS + 2 switches + UPS interno. Mejor relación costo/expansión para 12-24 meses.</t>
  </si>
  <si>
    <t xml:space="preserve">Datacenter / infra grande</t>
  </si>
  <si>
    <t xml:space="preserve">Rack 42U pie 600×1000</t>
  </si>
  <si>
    <t xml:space="preserve">42U</t>
  </si>
  <si>
    <t xml:space="preserve">600 × 1000 × 2055</t>
  </si>
  <si>
    <t xml:space="preserve">2-4 PDU vertical</t>
  </si>
  <si>
    <t xml:space="preserve">1200 – 2000</t>
  </si>
  <si>
    <t xml:space="preserve">Solo si vas a 7+ servidores rackmount. Probablemente over-spec para Delivrix hoy.</t>
  </si>
  <si>
    <t xml:space="preserve">NOTAS DE DIMENSIONAMIENTO</t>
  </si>
  <si>
    <t xml:space="preserve">• Servidor IBM x3630 M4: 75×45×8.9 cm · ≥18 kg vacío (≥25 kg cargado). Necesita rieles deslizables 2U que soporten ≥30 kg.</t>
  </si>
  <si>
    <t xml:space="preserve">• Para el IBM con 4 discos hot-swap más fuentes redundantes 550W×2: consumo estimado 150-300W en operación.</t>
  </si>
  <si>
    <t xml:space="preserve">• UPS Netion 2KVA/1800W: capacidad sobra para IBM (~300W) + Mikrotik (~25W) + switch futuro. Autonomía real depende del estado de las baterías (garantía vencida — probar).</t>
  </si>
  <si>
    <t xml:space="preserve">• Opciones de ubicación del UPS Netion: (a) al piso al lado del rack · (b) en U inferiores con bandeja reforzada para 25-30 kg · (c) cambiar por UPS rackmount 2U.</t>
  </si>
  <si>
    <t xml:space="preserve">• Puerta delantera con malla perforada (&gt;65%) y trasera igual para flujo de aire frontal→trasero del servidor.</t>
  </si>
  <si>
    <t xml:space="preserve">• Marcas recomendadas en Colombia: Beaucoup, Nexxt, Quest, Tripp-Lite, APC NetShelter SX, Vertiv.</t>
  </si>
  <si>
    <t xml:space="preserve">• Refrigeración: el IBM 2U hace ruido (~50-65 dBA). Si va en oficina con personas, considerar rack insonorizado o cuarto técnico dedicado.</t>
  </si>
  <si>
    <t xml:space="preserve">• Accesorios obligatorios día 1: PDU vertical 8 tomas C13 · 2 organizadores cables horizontales 1U · kit 50 tornillos enjaulados M6 + tuercas.</t>
  </si>
  <si>
    <t xml:space="preserve">PENDIENTES — DATOS POR VERIFICAR EN SITIO</t>
  </si>
  <si>
    <t xml:space="preserve">Lista limpia tras auditoría 2026-05-21. Los confirmados/resueltos fueron removidos.</t>
  </si>
  <si>
    <t xml:space="preserve">Qué verificar</t>
  </si>
  <si>
    <t xml:space="preserve">Cómo obtenerlo</t>
  </si>
  <si>
    <t xml:space="preserve">Hoja a actualizar</t>
  </si>
  <si>
    <t xml:space="preserve">Modelo de CPU del IBM (1 o 2 sockets, modelo Xeon E5-2400 exacto)</t>
  </si>
  <si>
    <t xml:space="preserve">`lscpu` en el host Proxmox + `dmidecode -t processor`</t>
  </si>
  <si>
    <t xml:space="preserve">2. Hardware Físico</t>
  </si>
  <si>
    <t xml:space="preserve">RAM total y módulos DDR3 ECC instalados</t>
  </si>
  <si>
    <t xml:space="preserve">`sudo dmidecode -t memory | grep -E 'Size|Type:|Speed'`</t>
  </si>
  <si>
    <t xml:space="preserve">Tarjetas PCIe instaladas (RAID controller, NICs adicionales)</t>
  </si>
  <si>
    <t xml:space="preserve">`lspci | grep -Ei 'raid|ethernet|fibre'`</t>
  </si>
  <si>
    <t xml:space="preserve">Marca/modelo de los 4 discos + estado SMART</t>
  </si>
  <si>
    <t xml:space="preserve">`sudo smartctl -i /dev/sdX` y `smartctl -A /dev/sdX` por cada disco</t>
  </si>
  <si>
    <t xml:space="preserve">Configuración RAID (¿están los SSDs en RAID 1 o JBOD?)</t>
  </si>
  <si>
    <t xml:space="preserve">Proxmox UI → Datacenter → Storage o `cat /proc/mdstat`</t>
  </si>
  <si>
    <t xml:space="preserve">3. Almacenamiento</t>
  </si>
  <si>
    <t xml:space="preserve">Versiones exactas de OS en VMs (BD y AppWeb)</t>
  </si>
  <si>
    <t xml:space="preserve">`lsb_release -a` en cada VM</t>
  </si>
  <si>
    <t xml:space="preserve">4. Software &amp; VMs</t>
  </si>
  <si>
    <t xml:space="preserve">Motor de base de datos en VM 100</t>
  </si>
  <si>
    <t xml:space="preserve">`sudo systemctl list-units --type=service | grep -E 'mysql|postgres|mongo'`</t>
  </si>
  <si>
    <t xml:space="preserve">Stack web en VM 101 (Node/PHP/Python/etc)</t>
  </si>
  <si>
    <t xml:space="preserve">`ps auxf` y `sudo netstat -tlnp` en la VM AppWeb</t>
  </si>
  <si>
    <t xml:space="preserve">Versión exacta de Kali Linux en laptop LOQ</t>
  </si>
  <si>
    <t xml:space="preserve">`lsb_release -a` y `uname -r`</t>
  </si>
  <si>
    <t xml:space="preserve">IP pública asignada por Tigo + plan contratado</t>
  </si>
  <si>
    <t xml:space="preserve">Mikrotik /ip address print o `curl ifconfig.me`</t>
  </si>
  <si>
    <t xml:space="preserve">5. Red &amp; Accesos</t>
  </si>
  <si>
    <t xml:space="preserve">Configuración VPN SSL Medellín↔Miami (interfaz, certificados)</t>
  </si>
  <si>
    <t xml:space="preserve">Mikrotik → /interface print + /ip route print + /certificate print</t>
  </si>
  <si>
    <t xml:space="preserve">Capacidad de batería real del UPS Netion (autonomía bajo carga)</t>
  </si>
  <si>
    <t xml:space="preserve">Prueba de descarga con todo el sistema conectado</t>
  </si>
  <si>
    <t xml:space="preserve">Rieles deslizables del IBM x3630 M4 — ¿se conservan los originales?</t>
  </si>
  <si>
    <t xml:space="preserve">Verificar físicamente o pedir a DEICO. Sin ellos hay que comprar kit universal 2U</t>
  </si>
  <si>
    <t xml:space="preserve">9. Cables &amp; Accesorios</t>
  </si>
  <si>
    <t xml:space="preserve">Foto del cuarto/sitio donde irá el rack + medidas del espacio</t>
  </si>
  <si>
    <t xml:space="preserve">Validar profundidad disponible, toma corriente, ventilación</t>
  </si>
  <si>
    <t xml:space="preserve">7. Rack &amp; Crecimiento</t>
  </si>
  <si>
    <t xml:space="preserve">Decisión final: cuántos servidores en el roadmap 12-24 meses</t>
  </si>
  <si>
    <t xml:space="preserve">Definir con stakeholders Delivrix — afecta tamaño rack final</t>
  </si>
  <si>
    <t xml:space="preserve">Plan migración: ¿seguir con IBM 2014 o reemplazar?</t>
  </si>
  <si>
    <t xml:space="preserve">Evaluar costo/riesgo equipo legacy vs Dell R750/HPE DL380 Gen11</t>
  </si>
  <si>
    <t xml:space="preserve">1. Resumen</t>
  </si>
  <si>
    <t xml:space="preserve">CABLES, ACCESORIOS Y CONSUMIBLES</t>
  </si>
  <si>
    <t xml:space="preserve">Inventario detallado por categoría. Verde = confirmado · Amarillo = pendiente · Sin color = a adquirir.</t>
  </si>
  <si>
    <t xml:space="preserve">Categoría</t>
  </si>
  <si>
    <t xml:space="preserve">Ítem</t>
  </si>
  <si>
    <t xml:space="preserve">Color</t>
  </si>
  <si>
    <t xml:space="preserve">Foto referencia</t>
  </si>
  <si>
    <t xml:space="preserve">ALIMENTACIÓN</t>
  </si>
  <si>
    <t xml:space="preserve">AL-01</t>
  </si>
  <si>
    <t xml:space="preserve">Alimentación</t>
  </si>
  <si>
    <t xml:space="preserve">Cable IEC C13 ↔ NEMA 5-15P (negro)</t>
  </si>
  <si>
    <t xml:space="preserve">C13 hembra ↔ NEMA 5-15P macho · ~1.5-2m</t>
  </si>
  <si>
    <t xml:space="preserve">Negro</t>
  </si>
  <si>
    <t xml:space="preserve">Para fuentes IBM (2) + UPS + cargas. 5 unidades contadas.</t>
  </si>
  <si>
    <t xml:space="preserve">IMG_4436/4437</t>
  </si>
  <si>
    <t xml:space="preserve">AL-02</t>
  </si>
  <si>
    <t xml:space="preserve">Cable IEC C13 ↔ NEMA 5-15P (blanco)</t>
  </si>
  <si>
    <t xml:space="preserve">C13 hembra ↔ NEMA 5-15P macho</t>
  </si>
  <si>
    <t xml:space="preserve">Blanco/crema</t>
  </si>
  <si>
    <t xml:space="preserve">Cable de poder color blanco — uso secundario.</t>
  </si>
  <si>
    <t xml:space="preserve">AL-03</t>
  </si>
  <si>
    <t xml:space="preserve">Cable IEC C5 trébol (Mickey)</t>
  </si>
  <si>
    <t xml:space="preserve">C5 3-pines redondos ↔ NEMA 5-15P</t>
  </si>
  <si>
    <t xml:space="preserve">Cable del cargador Lenovo 170W.</t>
  </si>
  <si>
    <t xml:space="preserve">IMG_4429</t>
  </si>
  <si>
    <t xml:space="preserve">AL-04</t>
  </si>
  <si>
    <t xml:space="preserve">Regleta naranja hexagonal</t>
  </si>
  <si>
    <t xml:space="preserve">6 tomas NEMA 5-15R + cable con NEMA 5-15P</t>
  </si>
  <si>
    <t xml:space="preserve">Naranja</t>
  </si>
  <si>
    <t xml:space="preserve">Regleta latinoamericana forma flor/hexagonal.</t>
  </si>
  <si>
    <t xml:space="preserve">IMG_4337, IMG_4436</t>
  </si>
  <si>
    <t xml:space="preserve">AL-05</t>
  </si>
  <si>
    <t xml:space="preserve">Adaptador 12V de pared (DC)</t>
  </si>
  <si>
    <t xml:space="preserve">NEMA 5-15P ↔ DC barrel POR VERIFICAR mm</t>
  </si>
  <si>
    <t xml:space="preserve">Pequeño cargador de pared. Verificar voltaje/amperaje exactos.</t>
  </si>
  <si>
    <t xml:space="preserve">IMG_4436</t>
  </si>
  <si>
    <t xml:space="preserve">AL-06</t>
  </si>
  <si>
    <t xml:space="preserve">Cargador laptop Lenovo 170W</t>
  </si>
  <si>
    <t xml:space="preserve">Lenovo ADL170SCC2A · 20V/8.5A · 170W · FRU 5A11K07851</t>
  </si>
  <si>
    <t xml:space="preserve">Para Lenovo LOQ 16IAX9. Mfg 2025-01. Made in China.</t>
  </si>
  <si>
    <t xml:space="preserve">RED</t>
  </si>
  <si>
    <t xml:space="preserve">RED-01</t>
  </si>
  <si>
    <t xml:space="preserve">Red</t>
  </si>
  <si>
    <t xml:space="preserve">Cable Ethernet RJ45 amarillo largo</t>
  </si>
  <si>
    <t xml:space="preserve">RJ45 ↔ RJ45 · Cat5e/Cat6 · ~2-3m</t>
  </si>
  <si>
    <t xml:space="preserve">Amarillo</t>
  </si>
  <si>
    <t xml:space="preserve">Uplink principal. Conectado al servidor IBM en uso.</t>
  </si>
  <si>
    <t xml:space="preserve">IMG_4335/4411/4436</t>
  </si>
  <si>
    <t xml:space="preserve">RED-02</t>
  </si>
  <si>
    <t xml:space="preserve">Cable Ethernet RJ45 azul corto</t>
  </si>
  <si>
    <t xml:space="preserve">RJ45 ↔ RJ45 · Cat5e/Cat6 · ~0.5-1m</t>
  </si>
  <si>
    <t xml:space="preserve">Azul</t>
  </si>
  <si>
    <t xml:space="preserve">Patch corto. Útil para switch a servidor.</t>
  </si>
  <si>
    <t xml:space="preserve">RED-03</t>
  </si>
  <si>
    <t xml:space="preserve">Cable Ethernet RJ45 gris</t>
  </si>
  <si>
    <t xml:space="preserve">RJ45 ↔ RJ45 · Cat5e/Cat6 · ~3-5m</t>
  </si>
  <si>
    <t xml:space="preserve">Gris</t>
  </si>
  <si>
    <t xml:space="preserve">Cable largo gris.</t>
  </si>
  <si>
    <t xml:space="preserve">RED-04</t>
  </si>
  <si>
    <t xml:space="preserve">Cable Ethernet RJ45 blanco</t>
  </si>
  <si>
    <t xml:space="preserve">RJ45 ↔ RJ45 · Cat5e/Cat6</t>
  </si>
  <si>
    <t xml:space="preserve">Blanco</t>
  </si>
  <si>
    <t xml:space="preserve">Cable con clip de retención visible.</t>
  </si>
  <si>
    <t xml:space="preserve">IMG_4337</t>
  </si>
  <si>
    <t xml:space="preserve">RED-05</t>
  </si>
  <si>
    <t xml:space="preserve">Cable consola Mikrotik (kit original)</t>
  </si>
  <si>
    <t xml:space="preserve">RJ45 ↔ DB-9 serial</t>
  </si>
  <si>
    <t xml:space="preserve">El CCR2004 viene con cable consola en su kit. Verificar si se conserva.</t>
  </si>
  <si>
    <t xml:space="preserve">USB</t>
  </si>
  <si>
    <t xml:space="preserve">USB-01</t>
  </si>
  <si>
    <t xml:space="preserve">Cable del teclado Jedel (integrado)</t>
  </si>
  <si>
    <t xml:space="preserve">USB-A macho ↔ USB-A macho (integrado al teclado)</t>
  </si>
  <si>
    <t xml:space="preserve">Cable fijo al teclado Jedel.</t>
  </si>
  <si>
    <t xml:space="preserve">IMG_4335, IMG_4435</t>
  </si>
  <si>
    <t xml:space="preserve">USB-02</t>
  </si>
  <si>
    <t xml:space="preserve">Cable USB A-A negro suelto</t>
  </si>
  <si>
    <t xml:space="preserve">USB-A ↔ USB-A · ~1m</t>
  </si>
  <si>
    <t xml:space="preserve">Etiqueta blanca pequeña. Posible para impresora/periférico.</t>
  </si>
  <si>
    <t xml:space="preserve">USB-03</t>
  </si>
  <si>
    <t xml:space="preserve">Cable USB A-A crema suelto</t>
  </si>
  <si>
    <t xml:space="preserve">Crema</t>
  </si>
  <si>
    <t xml:space="preserve">Cable enrollado en O.</t>
  </si>
  <si>
    <t xml:space="preserve">PERIFÉRICOS</t>
  </si>
  <si>
    <t xml:space="preserve">PER-01</t>
  </si>
  <si>
    <t xml:space="preserve">Periféricos</t>
  </si>
  <si>
    <t xml:space="preserve">Teclado USB Jedel (negro full-size)</t>
  </si>
  <si>
    <t xml:space="preserve">USB-A · layout español · F1-F12 · numpad</t>
  </si>
  <si>
    <t xml:space="preserve">Para consola directa al servidor IBM.</t>
  </si>
  <si>
    <t xml:space="preserve">IMG_4435</t>
  </si>
  <si>
    <t xml:space="preserve">ENERGÍA</t>
  </si>
  <si>
    <t xml:space="preserve">UPS-01</t>
  </si>
  <si>
    <t xml:space="preserve">Energía</t>
  </si>
  <si>
    <t xml:space="preserve">UPS Online Netion VTM02KVA</t>
  </si>
  <si>
    <t xml:space="preserve">2KVA / 1800W · 110-127VAC · 60Hz · 16.5A máx · Online doble conversión · Display LCD</t>
  </si>
  <si>
    <t xml:space="preserve">Negro/azul</t>
  </si>
  <si>
    <t xml:space="preserve">★ ÚNICO UPS del proyecto (confirmado Juanes 2026-05-21).</t>
  </si>
  <si>
    <t xml:space="preserve">IMG_4338, IMG_4431</t>
  </si>
  <si>
    <t xml:space="preserve">ALMACENAMIENTO</t>
  </si>
  <si>
    <t xml:space="preserve">DSK-01</t>
  </si>
  <si>
    <t xml:space="preserve">Almacenamiento</t>
  </si>
  <si>
    <t xml:space="preserve">Caddies 2.5" hot-swap IBM ocupados</t>
  </si>
  <si>
    <t xml:space="preserve">Tray IBM x3630 M4</t>
  </si>
  <si>
    <t xml:space="preserve">Azul + naranja</t>
  </si>
  <si>
    <t xml:space="preserve">Con 2×SSD 960GB + 2×HDD 1TB instalados.</t>
  </si>
  <si>
    <t xml:space="preserve">IMG_4410</t>
  </si>
  <si>
    <t xml:space="preserve">DSK-02</t>
  </si>
  <si>
    <t xml:space="preserve">Caddies 2.5" hot-swap IBM vacíos</t>
  </si>
  <si>
    <t xml:space="preserve">4 bahías frontales libres. Espacio para 4 discos adicionales.</t>
  </si>
  <si>
    <t xml:space="preserve">EMPAQUE</t>
  </si>
  <si>
    <t xml:space="preserve">ORG-01</t>
  </si>
  <si>
    <t xml:space="preserve">Empaque</t>
  </si>
  <si>
    <t xml:space="preserve">Caja Lenovo original</t>
  </si>
  <si>
    <t xml:space="preserve">Cartón con logo Lenovo</t>
  </si>
  <si>
    <t xml:space="preserve">Blanco/azul</t>
  </si>
  <si>
    <t xml:space="preserve">Empaque del laptop LOQ.</t>
  </si>
  <si>
    <t xml:space="preserve">IMG_4335</t>
  </si>
  <si>
    <t xml:space="preserve">ORG-02</t>
  </si>
  <si>
    <t xml:space="preserve">Caja organizadora transparente grande</t>
  </si>
  <si>
    <t xml:space="preserve">Plástica con tapa</t>
  </si>
  <si>
    <t xml:space="preserve">Transparente</t>
  </si>
  <si>
    <t xml:space="preserve">Contiene servidor IBM + laptop + teclado + cables.</t>
  </si>
  <si>
    <t xml:space="preserve">IMG_4335, IMG_4337</t>
  </si>
  <si>
    <t xml:space="preserve">ORG-03</t>
  </si>
  <si>
    <t xml:space="preserve">Caja organizadora con divisiones</t>
  </si>
  <si>
    <t xml:space="preserve">Plástica con compartimentos pequeños</t>
  </si>
  <si>
    <t xml:space="preserve">Para tornillos / conectores / accesorios pequeños.</t>
  </si>
  <si>
    <t xml:space="preserve">ORG-04</t>
  </si>
  <si>
    <t xml:space="preserve">Bolsas plásticas negras</t>
  </si>
  <si>
    <t xml:space="preserve">Empaque de protección</t>
  </si>
  <si>
    <t xml:space="preserve">≥3</t>
  </si>
  <si>
    <t xml:space="preserve">Embalaje original/secundario.</t>
  </si>
  <si>
    <t xml:space="preserve">DOCUMENTACIÓN</t>
  </si>
  <si>
    <t xml:space="preserve">DOC-01</t>
  </si>
  <si>
    <t xml:space="preserve">Documentación</t>
  </si>
  <si>
    <t xml:space="preserve">Manual Lenovo LOQ</t>
  </si>
  <si>
    <t xml:space="preserve">Folleto impreso con arte gaming</t>
  </si>
  <si>
    <t xml:space="preserve">Multicolor</t>
  </si>
  <si>
    <t xml:space="preserve">Manual del laptop LOQ 16IAX9.</t>
  </si>
  <si>
    <t xml:space="preserve">DOC-02</t>
  </si>
  <si>
    <t xml:space="preserve">Notas a mano (diagramas)</t>
  </si>
  <si>
    <t xml:space="preserve">Hojas sueltas con diagramas/passwords</t>
  </si>
  <si>
    <t xml:space="preserve">Diagramas de red y VPN del proyecto CITADEL/DEICO (no Delivrix).</t>
  </si>
  <si>
    <t xml:space="preserve">IMG_4337, PDF p.7-9</t>
  </si>
  <si>
    <t xml:space="preserve">MONTAJE RACK</t>
  </si>
  <si>
    <t xml:space="preserve">TOR-01</t>
  </si>
  <si>
    <t xml:space="preserve">Montaje rack</t>
  </si>
  <si>
    <t xml:space="preserve">Tornillos enjaulados M6 + tuercas</t>
  </si>
  <si>
    <t xml:space="preserve">Kit 50 unidades</t>
  </si>
  <si>
    <t xml:space="preserve">Plateado</t>
  </si>
  <si>
    <t xml:space="preserve">comprar</t>
  </si>
  <si>
    <t xml:space="preserve">Necesario para montar IBM 2U y accesorios en rack 19".</t>
  </si>
  <si>
    <t xml:space="preserve">TOR-02</t>
  </si>
  <si>
    <t xml:space="preserve">Rieles deslizables IBM 2U</t>
  </si>
  <si>
    <t xml:space="preserve">Kit IBM original o universal soporte ≥30 kg</t>
  </si>
  <si>
    <t xml:space="preserve">0 o 1</t>
  </si>
  <si>
    <t xml:space="preserve">Verificar si los originales se conservan. Si no, comprar kit Quest/StarTech.</t>
  </si>
  <si>
    <t xml:space="preserve">TOR-03</t>
  </si>
  <si>
    <t xml:space="preserve">Velcros / amarres reutilizables</t>
  </si>
  <si>
    <t xml:space="preserve">Tipo correa Velcro · paquete 50+</t>
  </si>
  <si>
    <t xml:space="preserve">Variado</t>
  </si>
  <si>
    <t xml:space="preserve">Para gestión de cables en el rack.</t>
  </si>
  <si>
    <t xml:space="preserve">TOR-04</t>
  </si>
  <si>
    <t xml:space="preserve">Etiquetas identificación cables</t>
  </si>
  <si>
    <t xml:space="preserve">Adhesivas o clips numerados</t>
  </si>
  <si>
    <t xml:space="preserve">Crítico etiquetar cada cable al instalar.</t>
  </si>
  <si>
    <t xml:space="preserve">TOR-05</t>
  </si>
  <si>
    <t xml:space="preserve">PDU vertical 8 tomas C13</t>
  </si>
  <si>
    <t xml:space="preserve">Vertical 0U · idealmente con interruptor por toma</t>
  </si>
  <si>
    <t xml:space="preserve">Distribución de poder en el rack. Marcas Tripp-Lite, APC, Beaucoup.</t>
  </si>
  <si>
    <t xml:space="preserve">OPERACIÓN</t>
  </si>
  <si>
    <t xml:space="preserve">OP-01</t>
  </si>
  <si>
    <t xml:space="preserve">Operación</t>
  </si>
  <si>
    <t xml:space="preserve">Monitor portátil VGA/HDMI</t>
  </si>
  <si>
    <t xml:space="preserve">Para conectar al panel VGA del IBM</t>
  </si>
  <si>
    <t xml:space="preserve">opcional</t>
  </si>
  <si>
    <t xml:space="preserve">Útil tener uno disponible para gestión local sin red.</t>
  </si>
  <si>
    <t xml:space="preserve">OP-02</t>
  </si>
  <si>
    <t xml:space="preserve">KVM dongle USB-Serial</t>
  </si>
  <si>
    <t xml:space="preserve">USB-A ↔ DB-9 RS-232</t>
  </si>
  <si>
    <t xml:space="preserve">Para acceso consola serie al Mikrotik o al IBM.</t>
  </si>
  <si>
    <t xml:space="preserve">OP-03</t>
  </si>
  <si>
    <t xml:space="preserve">USB drive bootable de rescate</t>
  </si>
  <si>
    <t xml:space="preserve">USB 3.0 16-32 GB con Proxmox ISO + Clonezilla</t>
  </si>
  <si>
    <t xml:space="preserve">recomendado</t>
  </si>
  <si>
    <t xml:space="preserve">Para recovery del host Proxmox si hay falla.</t>
  </si>
  <si>
    <t xml:space="preserve">RESUMEN POR CATEGORÍA</t>
  </si>
  <si>
    <t xml:space="preserve">→ 6 ítems ALIMENTACIÓN: 6 cables IEC (5 negros + 1 blanco) + 1 trébol C5 + 1 regleta hexagonal naranja + 1 adaptador 12V + 1 cargador laptop 170W.</t>
  </si>
  <si>
    <t xml:space="preserve">→ 5 cables ETHERNET: 2 amarillos largos + 1 azul corto + 1 gris + 1 blanco — suficientes para servidor + Mikrotik + crecimiento.</t>
  </si>
  <si>
    <t xml:space="preserve">→ 3 cables USB A-A: 1 integrado al teclado Jedel + 1 negro suelto + 1 crema suelto.</t>
  </si>
  <si>
    <t xml:space="preserve">→ 1 PERIFÉRICO: teclado Jedel (mouse no identificado en fotos).</t>
  </si>
  <si>
    <t xml:space="preserve">→ 1 UPS ÚNICO: Netion 2KVA/1800W.</t>
  </si>
  <si>
    <t xml:space="preserve">→ 8 caddies IBM 2.5": 4 ocupados con discos + 4 libres para expansión.</t>
  </si>
  <si>
    <t xml:space="preserve">→ 4 ítems de EMPAQUE: caja Lenovo + 2 organizadoras + bolsas plásticas.</t>
  </si>
  <si>
    <t xml:space="preserve">→ 5 ítems de MONTAJE RACK a comprar: tornillos M6, rieles, PDU, velcros, etiquetas.</t>
  </si>
  <si>
    <t xml:space="preserve">→ 3 ítems de OPERACIÓN opcionales/recomendados: monitor portátil, KVM serial, USB rescue.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</si>
</sst>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F4CCCC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1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1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1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1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1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15" hidden="false" customHeight="tru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3" customFormat="false" ht="15" hidden="false" customHeight="true" outlineLevel="0" collapsed="false">
      <c r="A13" s="3" t="s">
        <v>20</v>
      </c>
      <c r="B13" s="4" t="s">
        <v>21</v>
      </c>
      <c r="C13" s="4"/>
      <c r="D13" s="4"/>
      <c r="E13" s="4"/>
      <c r="F13" s="4"/>
    </row>
    <row r="14" customFormat="false" ht="15" hidden="false" customHeight="true" outlineLevel="0" collapsed="false">
      <c r="A14" s="3" t="s">
        <v>22</v>
      </c>
      <c r="B14" s="4" t="s">
        <v>23</v>
      </c>
      <c r="C14" s="4"/>
      <c r="D14" s="4"/>
      <c r="E14" s="4"/>
      <c r="F14" s="4"/>
    </row>
    <row r="15" customFormat="false" ht="15" hidden="false" customHeight="true" outlineLevel="0" collapsed="false">
      <c r="A15" s="3" t="s">
        <v>24</v>
      </c>
      <c r="B15" s="4" t="s">
        <v>25</v>
      </c>
      <c r="C15" s="4"/>
      <c r="D15" s="4"/>
      <c r="E15" s="4"/>
      <c r="F15" s="4"/>
    </row>
    <row r="18" customFormat="false" ht="21.75" hidden="false" customHeight="true" outlineLevel="0" collapsed="false">
      <c r="A18" s="5" t="s">
        <v>26</v>
      </c>
      <c r="B18" s="5"/>
      <c r="C18" s="5"/>
      <c r="D18" s="5"/>
      <c r="E18" s="5"/>
      <c r="F18" s="5"/>
    </row>
    <row r="19" customFormat="false" ht="21.75" hidden="false" customHeight="true" outlineLevel="0" collapsed="false">
      <c r="A19" s="6" t="s">
        <v>27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32</v>
      </c>
    </row>
    <row r="20" customFormat="false" ht="23.85" hidden="false" customHeight="false" outlineLevel="0" collapsed="false">
      <c r="A20" s="7" t="n">
        <v>1</v>
      </c>
      <c r="B20" s="8" t="s">
        <v>33</v>
      </c>
      <c r="C20" s="8" t="s">
        <v>34</v>
      </c>
      <c r="D20" s="7" t="s">
        <v>35</v>
      </c>
      <c r="E20" s="8" t="s">
        <v>36</v>
      </c>
      <c r="F20" s="7" t="s">
        <v>37</v>
      </c>
    </row>
    <row r="21" customFormat="false" ht="23.85" hidden="false" customHeight="false" outlineLevel="0" collapsed="false">
      <c r="A21" s="9" t="n">
        <v>2</v>
      </c>
      <c r="B21" s="10" t="s">
        <v>38</v>
      </c>
      <c r="C21" s="10" t="s">
        <v>39</v>
      </c>
      <c r="D21" s="9" t="s">
        <v>40</v>
      </c>
      <c r="E21" s="10" t="s">
        <v>41</v>
      </c>
      <c r="F21" s="9" t="s">
        <v>42</v>
      </c>
    </row>
    <row r="22" customFormat="false" ht="15" hidden="false" customHeight="false" outlineLevel="0" collapsed="false">
      <c r="A22" s="7" t="n">
        <v>3</v>
      </c>
      <c r="B22" s="8" t="s">
        <v>43</v>
      </c>
      <c r="C22" s="8" t="s">
        <v>44</v>
      </c>
      <c r="D22" s="7" t="s">
        <v>45</v>
      </c>
      <c r="E22" s="8" t="s">
        <v>41</v>
      </c>
      <c r="F22" s="7" t="s">
        <v>46</v>
      </c>
    </row>
    <row r="23" customFormat="false" ht="15" hidden="false" customHeight="false" outlineLevel="0" collapsed="false">
      <c r="A23" s="9" t="n">
        <v>4</v>
      </c>
      <c r="B23" s="10" t="s">
        <v>47</v>
      </c>
      <c r="C23" s="10" t="s">
        <v>48</v>
      </c>
      <c r="D23" s="9" t="s">
        <v>45</v>
      </c>
      <c r="E23" s="10" t="s">
        <v>49</v>
      </c>
      <c r="F23" s="9" t="s">
        <v>50</v>
      </c>
    </row>
    <row r="26" customFormat="false" ht="15" hidden="false" customHeight="false" outlineLevel="0" collapsed="false">
      <c r="A26" s="11" t="s">
        <v>51</v>
      </c>
      <c r="B26" s="11"/>
      <c r="C26" s="11"/>
      <c r="D26" s="11"/>
      <c r="E26" s="11"/>
      <c r="F26" s="11"/>
    </row>
    <row r="27" customFormat="false" ht="18" hidden="false" customHeight="true" outlineLevel="0" collapsed="false">
      <c r="A27" s="2" t="s">
        <v>52</v>
      </c>
      <c r="B27" s="2"/>
      <c r="C27" s="2"/>
      <c r="D27" s="2"/>
      <c r="E27" s="2"/>
      <c r="F27" s="2"/>
    </row>
    <row r="28" customFormat="false" ht="18" hidden="false" customHeight="true" outlineLevel="0" collapsed="false">
      <c r="A28" s="2" t="s">
        <v>53</v>
      </c>
      <c r="B28" s="2"/>
      <c r="C28" s="2"/>
      <c r="D28" s="2"/>
      <c r="E28" s="2"/>
      <c r="F28" s="2"/>
    </row>
    <row r="29" customFormat="false" ht="18" hidden="false" customHeight="true" outlineLevel="0" collapsed="false">
      <c r="A29" s="2" t="s">
        <v>54</v>
      </c>
      <c r="B29" s="2"/>
      <c r="C29" s="2"/>
      <c r="D29" s="2"/>
      <c r="E29" s="2"/>
      <c r="F29" s="2"/>
    </row>
    <row r="30" customFormat="false" ht="18" hidden="false" customHeight="true" outlineLevel="0" collapsed="false">
      <c r="A30" s="2" t="s">
        <v>55</v>
      </c>
      <c r="B30" s="2"/>
      <c r="C30" s="2"/>
      <c r="D30" s="2"/>
      <c r="E30" s="2"/>
      <c r="F30" s="2"/>
    </row>
    <row r="32" customFormat="false" ht="15" hidden="false" customHeight="false" outlineLevel="0" collapsed="false">
      <c r="A32" s="12" t="s">
        <v>56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3" t="s">
        <v>57</v>
      </c>
      <c r="B33" s="14" t="s">
        <v>58</v>
      </c>
      <c r="C33" s="15" t="s">
        <v>59</v>
      </c>
      <c r="D33" s="16" t="s">
        <v>60</v>
      </c>
    </row>
  </sheetData>
  <mergeCells count="2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8:F18"/>
    <mergeCell ref="A26:F26"/>
    <mergeCell ref="A27:F27"/>
    <mergeCell ref="A28:F28"/>
    <mergeCell ref="A29:F29"/>
    <mergeCell ref="A30:F30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24" hidden="false" customHeight="true" outlineLevel="0" collapsed="false">
      <c r="A1" s="5" t="s">
        <v>61</v>
      </c>
      <c r="B1" s="5"/>
      <c r="C1" s="5"/>
      <c r="D1" s="5"/>
      <c r="E1" s="5"/>
      <c r="F1" s="5"/>
      <c r="G1" s="5"/>
      <c r="H1" s="5"/>
    </row>
    <row r="3" customFormat="false" ht="21.75" hidden="false" customHeight="true" outlineLevel="0" collapsed="false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30</v>
      </c>
      <c r="H3" s="6" t="s">
        <v>68</v>
      </c>
    </row>
    <row r="4" customFormat="false" ht="48" hidden="false" customHeight="true" outlineLevel="0" collapsed="false">
      <c r="A4" s="7" t="s">
        <v>69</v>
      </c>
      <c r="B4" s="8" t="s">
        <v>70</v>
      </c>
      <c r="C4" s="17" t="s">
        <v>71</v>
      </c>
      <c r="D4" s="8" t="s">
        <v>72</v>
      </c>
      <c r="E4" s="7" t="n">
        <v>1</v>
      </c>
      <c r="F4" s="8" t="s">
        <v>73</v>
      </c>
      <c r="G4" s="7" t="s">
        <v>74</v>
      </c>
      <c r="H4" s="8" t="s">
        <v>75</v>
      </c>
    </row>
    <row r="5" customFormat="false" ht="48" hidden="false" customHeight="true" outlineLevel="0" collapsed="false">
      <c r="A5" s="9" t="s">
        <v>76</v>
      </c>
      <c r="B5" s="10" t="s">
        <v>77</v>
      </c>
      <c r="C5" s="10" t="s">
        <v>78</v>
      </c>
      <c r="D5" s="10" t="s">
        <v>79</v>
      </c>
      <c r="E5" s="9" t="s">
        <v>80</v>
      </c>
      <c r="F5" s="18" t="s">
        <v>81</v>
      </c>
      <c r="G5" s="9" t="s">
        <v>40</v>
      </c>
      <c r="H5" s="10" t="s">
        <v>82</v>
      </c>
    </row>
    <row r="6" customFormat="false" ht="48" hidden="false" customHeight="true" outlineLevel="0" collapsed="false">
      <c r="A6" s="7" t="s">
        <v>83</v>
      </c>
      <c r="B6" s="8" t="s">
        <v>84</v>
      </c>
      <c r="C6" s="8" t="s">
        <v>85</v>
      </c>
      <c r="D6" s="8" t="s">
        <v>86</v>
      </c>
      <c r="E6" s="7" t="s">
        <v>87</v>
      </c>
      <c r="F6" s="18" t="s">
        <v>81</v>
      </c>
      <c r="G6" s="7" t="s">
        <v>40</v>
      </c>
      <c r="H6" s="8" t="s">
        <v>88</v>
      </c>
    </row>
    <row r="7" customFormat="false" ht="48" hidden="false" customHeight="true" outlineLevel="0" collapsed="false">
      <c r="A7" s="9" t="s">
        <v>89</v>
      </c>
      <c r="B7" s="10" t="s">
        <v>90</v>
      </c>
      <c r="C7" s="17" t="s">
        <v>91</v>
      </c>
      <c r="D7" s="10" t="s">
        <v>92</v>
      </c>
      <c r="E7" s="9" t="n">
        <v>2</v>
      </c>
      <c r="F7" s="18" t="s">
        <v>81</v>
      </c>
      <c r="G7" s="9" t="s">
        <v>40</v>
      </c>
      <c r="H7" s="10" t="s">
        <v>93</v>
      </c>
    </row>
    <row r="8" customFormat="false" ht="48" hidden="false" customHeight="true" outlineLevel="0" collapsed="false">
      <c r="A8" s="7" t="s">
        <v>94</v>
      </c>
      <c r="B8" s="8" t="s">
        <v>95</v>
      </c>
      <c r="C8" s="18" t="s">
        <v>96</v>
      </c>
      <c r="D8" s="8" t="s">
        <v>97</v>
      </c>
      <c r="E8" s="7" t="n">
        <v>2</v>
      </c>
      <c r="F8" s="18" t="s">
        <v>81</v>
      </c>
      <c r="G8" s="7" t="s">
        <v>40</v>
      </c>
      <c r="H8" s="8" t="s">
        <v>98</v>
      </c>
    </row>
    <row r="9" customFormat="false" ht="48" hidden="false" customHeight="true" outlineLevel="0" collapsed="false">
      <c r="A9" s="9" t="s">
        <v>99</v>
      </c>
      <c r="B9" s="10" t="s">
        <v>100</v>
      </c>
      <c r="C9" s="18" t="s">
        <v>96</v>
      </c>
      <c r="D9" s="10" t="s">
        <v>101</v>
      </c>
      <c r="E9" s="9" t="n">
        <v>2</v>
      </c>
      <c r="F9" s="18" t="s">
        <v>81</v>
      </c>
      <c r="G9" s="9" t="s">
        <v>40</v>
      </c>
      <c r="H9" s="10" t="s">
        <v>102</v>
      </c>
    </row>
    <row r="10" customFormat="false" ht="48" hidden="false" customHeight="true" outlineLevel="0" collapsed="false">
      <c r="A10" s="7" t="s">
        <v>103</v>
      </c>
      <c r="B10" s="8" t="s">
        <v>104</v>
      </c>
      <c r="C10" s="17" t="s">
        <v>105</v>
      </c>
      <c r="D10" s="8" t="s">
        <v>106</v>
      </c>
      <c r="E10" s="7" t="n">
        <v>2</v>
      </c>
      <c r="F10" s="8" t="s">
        <v>107</v>
      </c>
      <c r="G10" s="7" t="s">
        <v>40</v>
      </c>
      <c r="H10" s="8" t="s">
        <v>108</v>
      </c>
    </row>
    <row r="11" customFormat="false" ht="48" hidden="false" customHeight="true" outlineLevel="0" collapsed="false">
      <c r="A11" s="9" t="s">
        <v>109</v>
      </c>
      <c r="B11" s="10" t="s">
        <v>110</v>
      </c>
      <c r="C11" s="17" t="s">
        <v>111</v>
      </c>
      <c r="D11" s="10" t="s">
        <v>112</v>
      </c>
      <c r="E11" s="9" t="n">
        <v>1</v>
      </c>
      <c r="F11" s="10" t="s">
        <v>113</v>
      </c>
      <c r="G11" s="9" t="s">
        <v>40</v>
      </c>
      <c r="H11" s="10" t="s">
        <v>114</v>
      </c>
    </row>
    <row r="12" customFormat="false" ht="48" hidden="false" customHeight="true" outlineLevel="0" collapsed="false">
      <c r="A12" s="7" t="s">
        <v>115</v>
      </c>
      <c r="B12" s="8" t="s">
        <v>116</v>
      </c>
      <c r="C12" s="17" t="s">
        <v>117</v>
      </c>
      <c r="D12" s="8" t="s">
        <v>118</v>
      </c>
      <c r="E12" s="7" t="n">
        <v>1</v>
      </c>
      <c r="F12" s="8" t="s">
        <v>119</v>
      </c>
      <c r="G12" s="7" t="s">
        <v>45</v>
      </c>
      <c r="H12" s="8" t="s">
        <v>120</v>
      </c>
    </row>
    <row r="13" customFormat="false" ht="48" hidden="false" customHeight="true" outlineLevel="0" collapsed="false">
      <c r="A13" s="9" t="s">
        <v>121</v>
      </c>
      <c r="B13" s="10" t="s">
        <v>122</v>
      </c>
      <c r="C13" s="17" t="s">
        <v>123</v>
      </c>
      <c r="D13" s="10" t="s">
        <v>124</v>
      </c>
      <c r="E13" s="9" t="n">
        <v>1</v>
      </c>
      <c r="F13" s="10" t="s">
        <v>125</v>
      </c>
      <c r="G13" s="9" t="s">
        <v>45</v>
      </c>
      <c r="H13" s="10" t="s">
        <v>126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24" hidden="false" customHeight="true" outlineLevel="0" collapsed="false">
      <c r="A1" s="5" t="s">
        <v>127</v>
      </c>
      <c r="B1" s="5"/>
      <c r="C1" s="5"/>
      <c r="D1" s="5"/>
      <c r="E1" s="5"/>
      <c r="F1" s="5"/>
      <c r="G1" s="5"/>
    </row>
    <row r="3" customFormat="false" ht="21.75" hidden="false" customHeight="true" outlineLevel="0" collapsed="false">
      <c r="A3" s="6" t="s">
        <v>27</v>
      </c>
      <c r="B3" s="6" t="s">
        <v>128</v>
      </c>
      <c r="C3" s="6" t="s">
        <v>129</v>
      </c>
      <c r="D3" s="6" t="s">
        <v>130</v>
      </c>
      <c r="E3" s="6" t="s">
        <v>131</v>
      </c>
      <c r="F3" s="6" t="s">
        <v>132</v>
      </c>
      <c r="G3" s="6" t="s">
        <v>68</v>
      </c>
    </row>
    <row r="4" customFormat="false" ht="23.85" hidden="false" customHeight="false" outlineLevel="0" collapsed="false">
      <c r="A4" s="7" t="n">
        <v>1</v>
      </c>
      <c r="B4" s="8" t="s">
        <v>133</v>
      </c>
      <c r="C4" s="7" t="n">
        <v>960</v>
      </c>
      <c r="D4" s="8" t="s">
        <v>134</v>
      </c>
      <c r="E4" s="7" t="n">
        <v>752</v>
      </c>
      <c r="F4" s="19" t="n">
        <f aca="false">E4/C4</f>
        <v>0.783333333333333</v>
      </c>
      <c r="G4" s="8" t="s">
        <v>135</v>
      </c>
    </row>
    <row r="5" customFormat="false" ht="23.85" hidden="false" customHeight="false" outlineLevel="0" collapsed="false">
      <c r="A5" s="9" t="n">
        <v>2</v>
      </c>
      <c r="B5" s="10" t="s">
        <v>136</v>
      </c>
      <c r="C5" s="9" t="n">
        <v>960</v>
      </c>
      <c r="D5" s="10" t="s">
        <v>134</v>
      </c>
      <c r="E5" s="9" t="n">
        <v>752</v>
      </c>
      <c r="F5" s="20" t="n">
        <f aca="false">E5/C5</f>
        <v>0.783333333333333</v>
      </c>
      <c r="G5" s="10" t="s">
        <v>137</v>
      </c>
    </row>
    <row r="6" customFormat="false" ht="23.85" hidden="false" customHeight="false" outlineLevel="0" collapsed="false">
      <c r="A6" s="7" t="n">
        <v>3</v>
      </c>
      <c r="B6" s="8" t="s">
        <v>138</v>
      </c>
      <c r="C6" s="7" t="n">
        <v>1000</v>
      </c>
      <c r="D6" s="8" t="s">
        <v>139</v>
      </c>
      <c r="E6" s="7" t="n">
        <v>495</v>
      </c>
      <c r="F6" s="19" t="n">
        <f aca="false">E6/C6</f>
        <v>0.495</v>
      </c>
      <c r="G6" s="8" t="s">
        <v>140</v>
      </c>
    </row>
    <row r="7" customFormat="false" ht="23.85" hidden="false" customHeight="false" outlineLevel="0" collapsed="false">
      <c r="A7" s="9" t="n">
        <v>4</v>
      </c>
      <c r="B7" s="10" t="s">
        <v>141</v>
      </c>
      <c r="C7" s="9" t="n">
        <v>1000</v>
      </c>
      <c r="D7" s="10" t="s">
        <v>142</v>
      </c>
      <c r="E7" s="9" t="n">
        <v>375</v>
      </c>
      <c r="F7" s="20" t="n">
        <f aca="false">E7/C7</f>
        <v>0.375</v>
      </c>
      <c r="G7" s="10" t="s">
        <v>143</v>
      </c>
    </row>
    <row r="8" customFormat="false" ht="15" hidden="false" customHeight="false" outlineLevel="0" collapsed="false">
      <c r="A8" s="21"/>
      <c r="B8" s="3" t="s">
        <v>144</v>
      </c>
      <c r="C8" s="3" t="n">
        <f aca="false">SUM(C4:C7)</f>
        <v>3920</v>
      </c>
      <c r="D8" s="21"/>
      <c r="E8" s="3" t="n">
        <f aca="false">SUM(E4:E7)</f>
        <v>2374</v>
      </c>
      <c r="F8" s="22" t="n">
        <f aca="false">E8/C8</f>
        <v>0.605612244897959</v>
      </c>
      <c r="G8" s="21"/>
    </row>
    <row r="11" customFormat="false" ht="21.75" hidden="false" customHeight="true" outlineLevel="0" collapsed="false">
      <c r="A11" s="5" t="s">
        <v>145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6" t="s">
        <v>146</v>
      </c>
      <c r="B12" s="6" t="s">
        <v>147</v>
      </c>
      <c r="C12" s="6" t="s">
        <v>148</v>
      </c>
      <c r="D12" s="6" t="s">
        <v>149</v>
      </c>
      <c r="E12" s="6" t="s">
        <v>128</v>
      </c>
      <c r="F12" s="6" t="s">
        <v>150</v>
      </c>
      <c r="G12" s="6" t="s">
        <v>68</v>
      </c>
    </row>
    <row r="13" customFormat="false" ht="15" hidden="false" customHeight="false" outlineLevel="0" collapsed="false">
      <c r="A13" s="8" t="s">
        <v>151</v>
      </c>
      <c r="B13" s="7" t="s">
        <v>152</v>
      </c>
      <c r="C13" s="8" t="s">
        <v>153</v>
      </c>
      <c r="D13" s="7" t="n">
        <v>440</v>
      </c>
      <c r="E13" s="7" t="s">
        <v>154</v>
      </c>
      <c r="F13" s="7" t="s">
        <v>107</v>
      </c>
      <c r="G13" s="8" t="s">
        <v>155</v>
      </c>
    </row>
    <row r="14" customFormat="false" ht="15" hidden="false" customHeight="false" outlineLevel="0" collapsed="false">
      <c r="A14" s="10" t="s">
        <v>156</v>
      </c>
      <c r="B14" s="9" t="s">
        <v>152</v>
      </c>
      <c r="C14" s="10" t="s">
        <v>157</v>
      </c>
      <c r="D14" s="9" t="n">
        <v>300</v>
      </c>
      <c r="E14" s="9" t="s">
        <v>154</v>
      </c>
      <c r="F14" s="9" t="s">
        <v>107</v>
      </c>
      <c r="G14" s="10" t="s">
        <v>158</v>
      </c>
    </row>
    <row r="15" customFormat="false" ht="15" hidden="false" customHeight="false" outlineLevel="0" collapsed="false">
      <c r="A15" s="8" t="s">
        <v>159</v>
      </c>
      <c r="B15" s="7" t="s">
        <v>160</v>
      </c>
      <c r="C15" s="8" t="s">
        <v>161</v>
      </c>
      <c r="D15" s="7" t="n">
        <v>96</v>
      </c>
      <c r="E15" s="7" t="s">
        <v>162</v>
      </c>
      <c r="F15" s="7" t="s">
        <v>163</v>
      </c>
      <c r="G15" s="8" t="s">
        <v>164</v>
      </c>
    </row>
    <row r="16" customFormat="false" ht="15" hidden="false" customHeight="false" outlineLevel="0" collapsed="false">
      <c r="A16" s="10" t="s">
        <v>159</v>
      </c>
      <c r="B16" s="9" t="s">
        <v>165</v>
      </c>
      <c r="C16" s="10" t="s">
        <v>161</v>
      </c>
      <c r="D16" s="9" t="n">
        <v>8</v>
      </c>
      <c r="E16" s="9" t="s">
        <v>166</v>
      </c>
      <c r="F16" s="9" t="s">
        <v>167</v>
      </c>
      <c r="G16" s="10" t="s">
        <v>168</v>
      </c>
    </row>
    <row r="17" customFormat="false" ht="15" hidden="false" customHeight="false" outlineLevel="0" collapsed="false">
      <c r="A17" s="8" t="s">
        <v>159</v>
      </c>
      <c r="B17" s="7" t="s">
        <v>169</v>
      </c>
      <c r="C17" s="8" t="s">
        <v>161</v>
      </c>
      <c r="D17" s="7" t="n">
        <v>7.7</v>
      </c>
      <c r="E17" s="7" t="s">
        <v>170</v>
      </c>
      <c r="F17" s="7" t="s">
        <v>107</v>
      </c>
      <c r="G17" s="8" t="s">
        <v>171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50"/>
  </cols>
  <sheetData>
    <row r="1" customFormat="false" ht="24" hidden="false" customHeight="true" outlineLevel="0" collapsed="false">
      <c r="A1" s="5" t="s">
        <v>172</v>
      </c>
      <c r="B1" s="5"/>
      <c r="C1" s="5"/>
      <c r="D1" s="5"/>
      <c r="E1" s="5"/>
    </row>
    <row r="3" customFormat="false" ht="15" hidden="false" customHeight="false" outlineLevel="0" collapsed="false">
      <c r="A3" s="6" t="s">
        <v>173</v>
      </c>
      <c r="B3" s="6" t="s">
        <v>174</v>
      </c>
      <c r="C3" s="6" t="s">
        <v>175</v>
      </c>
      <c r="D3" s="6" t="s">
        <v>176</v>
      </c>
      <c r="E3" s="6" t="s">
        <v>68</v>
      </c>
    </row>
    <row r="4" customFormat="false" ht="36" hidden="false" customHeight="true" outlineLevel="0" collapsed="false">
      <c r="A4" s="8" t="s">
        <v>177</v>
      </c>
      <c r="B4" s="8" t="s">
        <v>178</v>
      </c>
      <c r="C4" s="8" t="s">
        <v>179</v>
      </c>
      <c r="D4" s="8" t="s">
        <v>180</v>
      </c>
      <c r="E4" s="8" t="s">
        <v>181</v>
      </c>
    </row>
    <row r="5" customFormat="false" ht="36" hidden="false" customHeight="true" outlineLevel="0" collapsed="false">
      <c r="A5" s="10" t="s">
        <v>182</v>
      </c>
      <c r="B5" s="10" t="s">
        <v>183</v>
      </c>
      <c r="C5" s="18" t="s">
        <v>184</v>
      </c>
      <c r="D5" s="18" t="s">
        <v>81</v>
      </c>
      <c r="E5" s="18" t="s">
        <v>185</v>
      </c>
    </row>
    <row r="6" customFormat="false" ht="36" hidden="false" customHeight="true" outlineLevel="0" collapsed="false">
      <c r="A6" s="8" t="s">
        <v>186</v>
      </c>
      <c r="B6" s="8" t="s">
        <v>187</v>
      </c>
      <c r="C6" s="8" t="s">
        <v>188</v>
      </c>
      <c r="D6" s="18" t="s">
        <v>81</v>
      </c>
      <c r="E6" s="8" t="s">
        <v>189</v>
      </c>
    </row>
    <row r="7" customFormat="false" ht="36" hidden="false" customHeight="true" outlineLevel="0" collapsed="false">
      <c r="A7" s="10" t="s">
        <v>190</v>
      </c>
      <c r="B7" s="10" t="s">
        <v>191</v>
      </c>
      <c r="C7" s="10" t="s">
        <v>192</v>
      </c>
      <c r="D7" s="18" t="s">
        <v>81</v>
      </c>
      <c r="E7" s="10" t="s">
        <v>193</v>
      </c>
    </row>
    <row r="8" customFormat="false" ht="36" hidden="false" customHeight="true" outlineLevel="0" collapsed="false">
      <c r="A8" s="8" t="s">
        <v>194</v>
      </c>
      <c r="B8" s="8" t="s">
        <v>47</v>
      </c>
      <c r="C8" s="8" t="s">
        <v>195</v>
      </c>
      <c r="D8" s="18" t="s">
        <v>81</v>
      </c>
      <c r="E8" s="8" t="s">
        <v>196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24" hidden="false" customHeight="true" outlineLevel="0" collapsed="false">
      <c r="A1" s="5" t="s">
        <v>197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3" t="s">
        <v>198</v>
      </c>
      <c r="B2" s="23"/>
      <c r="C2" s="23"/>
      <c r="D2" s="23"/>
      <c r="E2" s="23"/>
      <c r="F2" s="23"/>
    </row>
    <row r="4" customFormat="false" ht="15" hidden="false" customHeight="false" outlineLevel="0" collapsed="false">
      <c r="A4" s="6" t="s">
        <v>199</v>
      </c>
      <c r="B4" s="6" t="s">
        <v>177</v>
      </c>
      <c r="C4" s="6" t="s">
        <v>200</v>
      </c>
      <c r="D4" s="6" t="s">
        <v>201</v>
      </c>
      <c r="E4" s="6" t="s">
        <v>202</v>
      </c>
      <c r="F4" s="6" t="s">
        <v>203</v>
      </c>
    </row>
    <row r="5" customFormat="false" ht="15" hidden="false" customHeight="false" outlineLevel="0" collapsed="false">
      <c r="A5" s="8" t="s">
        <v>204</v>
      </c>
      <c r="B5" s="8" t="s">
        <v>205</v>
      </c>
      <c r="C5" s="8" t="s">
        <v>206</v>
      </c>
      <c r="D5" s="8" t="n">
        <v>8006</v>
      </c>
      <c r="E5" s="8" t="s">
        <v>207</v>
      </c>
      <c r="F5" s="8" t="s">
        <v>208</v>
      </c>
    </row>
    <row r="6" customFormat="false" ht="15" hidden="false" customHeight="false" outlineLevel="0" collapsed="false">
      <c r="A6" s="10" t="s">
        <v>209</v>
      </c>
      <c r="B6" s="10" t="s">
        <v>182</v>
      </c>
      <c r="C6" s="10" t="s">
        <v>210</v>
      </c>
      <c r="D6" s="10" t="n">
        <v>22</v>
      </c>
      <c r="E6" s="10" t="s">
        <v>211</v>
      </c>
      <c r="F6" s="10" t="s">
        <v>212</v>
      </c>
    </row>
    <row r="7" customFormat="false" ht="15" hidden="false" customHeight="false" outlineLevel="0" collapsed="false">
      <c r="A7" s="8" t="s">
        <v>213</v>
      </c>
      <c r="B7" s="8" t="s">
        <v>186</v>
      </c>
      <c r="C7" s="8" t="s">
        <v>214</v>
      </c>
      <c r="D7" s="8" t="n">
        <v>22</v>
      </c>
      <c r="E7" s="8" t="s">
        <v>215</v>
      </c>
      <c r="F7" s="8" t="s">
        <v>208</v>
      </c>
    </row>
    <row r="8" customFormat="false" ht="15" hidden="false" customHeight="false" outlineLevel="0" collapsed="false">
      <c r="A8" s="10" t="s">
        <v>216</v>
      </c>
      <c r="B8" s="10" t="s">
        <v>217</v>
      </c>
      <c r="C8" s="10" t="s">
        <v>218</v>
      </c>
      <c r="D8" s="10" t="n">
        <v>22</v>
      </c>
      <c r="E8" s="10" t="s">
        <v>219</v>
      </c>
      <c r="F8" s="10" t="s">
        <v>220</v>
      </c>
    </row>
    <row r="9" customFormat="false" ht="15" hidden="false" customHeight="false" outlineLevel="0" collapsed="false">
      <c r="A9" s="8" t="s">
        <v>221</v>
      </c>
      <c r="B9" s="8" t="s">
        <v>12</v>
      </c>
      <c r="C9" s="8" t="s">
        <v>222</v>
      </c>
      <c r="D9" s="8" t="s">
        <v>107</v>
      </c>
      <c r="E9" s="8" t="s">
        <v>223</v>
      </c>
      <c r="F9" s="8" t="s">
        <v>224</v>
      </c>
    </row>
    <row r="10" customFormat="false" ht="15" hidden="false" customHeight="false" outlineLevel="0" collapsed="false">
      <c r="A10" s="10" t="s">
        <v>225</v>
      </c>
      <c r="B10" s="10" t="s">
        <v>12</v>
      </c>
      <c r="C10" s="10" t="s">
        <v>222</v>
      </c>
      <c r="D10" s="10" t="s">
        <v>107</v>
      </c>
      <c r="E10" s="18" t="s">
        <v>81</v>
      </c>
      <c r="F10" s="10" t="s">
        <v>226</v>
      </c>
    </row>
    <row r="11" customFormat="false" ht="23.85" hidden="false" customHeight="false" outlineLevel="0" collapsed="false">
      <c r="A11" s="8" t="s">
        <v>227</v>
      </c>
      <c r="B11" s="8" t="s">
        <v>228</v>
      </c>
      <c r="C11" s="18" t="s">
        <v>81</v>
      </c>
      <c r="D11" s="8" t="s">
        <v>107</v>
      </c>
      <c r="E11" s="18" t="s">
        <v>81</v>
      </c>
      <c r="F11" s="8" t="s">
        <v>229</v>
      </c>
    </row>
    <row r="12" customFormat="false" ht="15" hidden="false" customHeight="false" outlineLevel="0" collapsed="false">
      <c r="A12" s="10" t="s">
        <v>230</v>
      </c>
      <c r="B12" s="10" t="s">
        <v>231</v>
      </c>
      <c r="C12" s="18" t="s">
        <v>232</v>
      </c>
      <c r="D12" s="10" t="s">
        <v>107</v>
      </c>
      <c r="E12" s="10" t="s">
        <v>107</v>
      </c>
      <c r="F12" s="10" t="s">
        <v>233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5" t="s">
        <v>234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" t="s">
        <v>235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63</v>
      </c>
      <c r="B4" s="6" t="s">
        <v>236</v>
      </c>
      <c r="C4" s="6" t="s">
        <v>237</v>
      </c>
      <c r="D4" s="6" t="s">
        <v>238</v>
      </c>
      <c r="E4" s="6" t="s">
        <v>239</v>
      </c>
      <c r="F4" s="6" t="s">
        <v>30</v>
      </c>
    </row>
    <row r="5" customFormat="false" ht="23.85" hidden="false" customHeight="false" outlineLevel="0" collapsed="false">
      <c r="A5" s="8" t="s">
        <v>240</v>
      </c>
      <c r="B5" s="8" t="s">
        <v>241</v>
      </c>
      <c r="C5" s="8" t="s">
        <v>242</v>
      </c>
      <c r="D5" s="8" t="s">
        <v>243</v>
      </c>
      <c r="E5" s="8" t="s">
        <v>244</v>
      </c>
      <c r="F5" s="24" t="s">
        <v>245</v>
      </c>
    </row>
    <row r="6" customFormat="false" ht="15" hidden="false" customHeight="false" outlineLevel="0" collapsed="false">
      <c r="A6" s="10" t="s">
        <v>246</v>
      </c>
      <c r="B6" s="10" t="s">
        <v>247</v>
      </c>
      <c r="C6" s="10" t="s">
        <v>248</v>
      </c>
      <c r="D6" s="10" t="s">
        <v>249</v>
      </c>
      <c r="E6" s="10" t="s">
        <v>250</v>
      </c>
      <c r="F6" s="24" t="s">
        <v>251</v>
      </c>
    </row>
    <row r="7" customFormat="false" ht="15" hidden="false" customHeight="false" outlineLevel="0" collapsed="false">
      <c r="A7" s="8" t="s">
        <v>252</v>
      </c>
      <c r="B7" s="8" t="s">
        <v>247</v>
      </c>
      <c r="C7" s="8" t="s">
        <v>248</v>
      </c>
      <c r="D7" s="8" t="s">
        <v>253</v>
      </c>
      <c r="E7" s="8" t="s">
        <v>254</v>
      </c>
      <c r="F7" s="24" t="s">
        <v>255</v>
      </c>
    </row>
    <row r="8" customFormat="false" ht="15" hidden="false" customHeight="false" outlineLevel="0" collapsed="false">
      <c r="A8" s="10" t="s">
        <v>256</v>
      </c>
      <c r="B8" s="10" t="s">
        <v>247</v>
      </c>
      <c r="C8" s="10" t="s">
        <v>248</v>
      </c>
      <c r="D8" s="10" t="s">
        <v>253</v>
      </c>
      <c r="E8" s="10" t="s">
        <v>254</v>
      </c>
      <c r="F8" s="24" t="s">
        <v>255</v>
      </c>
    </row>
    <row r="9" customFormat="false" ht="15" hidden="false" customHeight="false" outlineLevel="0" collapsed="false">
      <c r="A9" s="8" t="s">
        <v>257</v>
      </c>
      <c r="B9" s="8" t="s">
        <v>247</v>
      </c>
      <c r="C9" s="8" t="s">
        <v>248</v>
      </c>
      <c r="D9" s="8" t="s">
        <v>253</v>
      </c>
      <c r="E9" s="8" t="s">
        <v>254</v>
      </c>
      <c r="F9" s="24" t="s">
        <v>258</v>
      </c>
    </row>
    <row r="10" customFormat="false" ht="15" hidden="false" customHeight="false" outlineLevel="0" collapsed="false">
      <c r="A10" s="10" t="s">
        <v>259</v>
      </c>
      <c r="B10" s="10" t="s">
        <v>260</v>
      </c>
      <c r="C10" s="10" t="s">
        <v>248</v>
      </c>
      <c r="D10" s="10" t="s">
        <v>261</v>
      </c>
      <c r="E10" s="10" t="s">
        <v>254</v>
      </c>
      <c r="F10" s="24" t="s">
        <v>262</v>
      </c>
    </row>
    <row r="11" customFormat="false" ht="15" hidden="false" customHeight="false" outlineLevel="0" collapsed="false">
      <c r="A11" s="8" t="s">
        <v>191</v>
      </c>
      <c r="B11" s="8" t="s">
        <v>247</v>
      </c>
      <c r="C11" s="8" t="s">
        <v>248</v>
      </c>
      <c r="D11" s="8" t="s">
        <v>249</v>
      </c>
      <c r="E11" s="8" t="s">
        <v>250</v>
      </c>
      <c r="F11" s="24" t="s">
        <v>263</v>
      </c>
    </row>
    <row r="12" customFormat="false" ht="15" hidden="false" customHeight="false" outlineLevel="0" collapsed="false">
      <c r="A12" s="10" t="s">
        <v>47</v>
      </c>
      <c r="B12" s="10" t="s">
        <v>264</v>
      </c>
      <c r="C12" s="10" t="s">
        <v>265</v>
      </c>
      <c r="D12" s="10" t="s">
        <v>266</v>
      </c>
      <c r="E12" s="10" t="s">
        <v>267</v>
      </c>
      <c r="F12" s="24" t="s">
        <v>268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24" hidden="false" customHeight="true" outlineLevel="0" collapsed="false">
      <c r="A1" s="5" t="s">
        <v>269</v>
      </c>
      <c r="B1" s="5"/>
      <c r="C1" s="5"/>
      <c r="D1" s="5"/>
      <c r="E1" s="5"/>
      <c r="F1" s="5"/>
      <c r="G1" s="5"/>
    </row>
    <row r="3" customFormat="false" ht="21.75" hidden="false" customHeight="true" outlineLevel="0" collapsed="false">
      <c r="A3" s="5" t="s">
        <v>270</v>
      </c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25" t="s">
        <v>271</v>
      </c>
      <c r="B4" s="25"/>
      <c r="C4" s="25"/>
      <c r="D4" s="25"/>
      <c r="E4" s="25"/>
      <c r="F4" s="25"/>
      <c r="G4" s="25"/>
    </row>
    <row r="5" customFormat="false" ht="15" hidden="false" customHeight="false" outlineLevel="0" collapsed="false">
      <c r="A5" s="26" t="s">
        <v>272</v>
      </c>
      <c r="B5" s="26"/>
      <c r="C5" s="26"/>
      <c r="D5" s="26"/>
      <c r="E5" s="26"/>
      <c r="F5" s="26"/>
      <c r="G5" s="26"/>
    </row>
    <row r="6" customFormat="false" ht="15" hidden="false" customHeight="false" outlineLevel="0" collapsed="false">
      <c r="A6" s="26" t="s">
        <v>273</v>
      </c>
      <c r="B6" s="26"/>
      <c r="C6" s="26"/>
      <c r="D6" s="26"/>
      <c r="E6" s="26"/>
      <c r="F6" s="26"/>
      <c r="G6" s="26"/>
    </row>
    <row r="8" customFormat="false" ht="15" hidden="false" customHeight="false" outlineLevel="0" collapsed="false">
      <c r="A8" s="12" t="s">
        <v>274</v>
      </c>
      <c r="B8" s="12"/>
      <c r="C8" s="12"/>
      <c r="D8" s="12"/>
      <c r="E8" s="12"/>
      <c r="F8" s="12"/>
      <c r="G8" s="12"/>
    </row>
    <row r="9" customFormat="false" ht="25.5" hidden="false" customHeight="true" outlineLevel="0" collapsed="false">
      <c r="A9" s="6" t="s">
        <v>28</v>
      </c>
      <c r="B9" s="6" t="s">
        <v>275</v>
      </c>
      <c r="C9" s="6" t="s">
        <v>276</v>
      </c>
      <c r="D9" s="6" t="s">
        <v>277</v>
      </c>
      <c r="E9" s="6" t="s">
        <v>278</v>
      </c>
      <c r="F9" s="6" t="s">
        <v>279</v>
      </c>
      <c r="G9" s="6" t="s">
        <v>280</v>
      </c>
    </row>
    <row r="10" customFormat="false" ht="23.85" hidden="false" customHeight="false" outlineLevel="0" collapsed="false">
      <c r="A10" s="8" t="s">
        <v>281</v>
      </c>
      <c r="B10" s="8" t="s">
        <v>282</v>
      </c>
      <c r="C10" s="8" t="s">
        <v>283</v>
      </c>
      <c r="D10" s="7" t="n">
        <v>2</v>
      </c>
      <c r="E10" s="7" t="n">
        <v>2</v>
      </c>
      <c r="F10" s="7" t="n">
        <v>1</v>
      </c>
      <c r="G10" s="7" t="n">
        <f aca="false">E10*F10</f>
        <v>2</v>
      </c>
    </row>
    <row r="11" customFormat="false" ht="35.05" hidden="false" customHeight="false" outlineLevel="0" collapsed="false">
      <c r="A11" s="10" t="s">
        <v>259</v>
      </c>
      <c r="B11" s="10" t="s">
        <v>284</v>
      </c>
      <c r="C11" s="10" t="s">
        <v>285</v>
      </c>
      <c r="D11" s="9" t="n">
        <v>0</v>
      </c>
      <c r="E11" s="9" t="n">
        <v>3</v>
      </c>
      <c r="F11" s="9" t="n">
        <v>1</v>
      </c>
      <c r="G11" s="9" t="n">
        <f aca="false">E11*F11</f>
        <v>3</v>
      </c>
    </row>
    <row r="12" customFormat="false" ht="23.85" hidden="false" customHeight="false" outlineLevel="0" collapsed="false">
      <c r="A12" s="8" t="s">
        <v>191</v>
      </c>
      <c r="B12" s="8" t="s">
        <v>286</v>
      </c>
      <c r="C12" s="8" t="s">
        <v>287</v>
      </c>
      <c r="D12" s="7" t="n">
        <v>1</v>
      </c>
      <c r="E12" s="7" t="n">
        <v>1</v>
      </c>
      <c r="F12" s="7" t="n">
        <v>1</v>
      </c>
      <c r="G12" s="7" t="n">
        <f aca="false">E12*F12</f>
        <v>1</v>
      </c>
    </row>
    <row r="13" customFormat="false" ht="15" hidden="false" customHeight="false" outlineLevel="0" collapsed="false">
      <c r="A13" s="10" t="s">
        <v>288</v>
      </c>
      <c r="B13" s="10" t="s">
        <v>107</v>
      </c>
      <c r="C13" s="10" t="s">
        <v>46</v>
      </c>
      <c r="D13" s="9" t="n">
        <v>0</v>
      </c>
      <c r="E13" s="9" t="n">
        <v>1</v>
      </c>
      <c r="F13" s="9" t="n">
        <v>1</v>
      </c>
      <c r="G13" s="9" t="n">
        <f aca="false">E13*F13</f>
        <v>1</v>
      </c>
    </row>
    <row r="14" customFormat="false" ht="15" hidden="false" customHeight="false" outlineLevel="0" collapsed="false">
      <c r="A14" s="8" t="s">
        <v>289</v>
      </c>
      <c r="B14" s="8" t="s">
        <v>107</v>
      </c>
      <c r="C14" s="8" t="s">
        <v>46</v>
      </c>
      <c r="D14" s="7" t="n">
        <v>0</v>
      </c>
      <c r="E14" s="7" t="n">
        <v>1</v>
      </c>
      <c r="F14" s="7" t="n">
        <v>1</v>
      </c>
      <c r="G14" s="7" t="n">
        <f aca="false">E14*F14</f>
        <v>1</v>
      </c>
    </row>
    <row r="15" customFormat="false" ht="23.85" hidden="false" customHeight="false" outlineLevel="0" collapsed="false">
      <c r="A15" s="10" t="s">
        <v>290</v>
      </c>
      <c r="B15" s="10" t="s">
        <v>291</v>
      </c>
      <c r="C15" s="10" t="s">
        <v>292</v>
      </c>
      <c r="D15" s="9" t="n">
        <v>0</v>
      </c>
      <c r="E15" s="9" t="n">
        <v>0</v>
      </c>
      <c r="F15" s="9" t="n">
        <v>1</v>
      </c>
      <c r="G15" s="9" t="n">
        <f aca="false">E15*F15</f>
        <v>0</v>
      </c>
    </row>
    <row r="16" customFormat="false" ht="15" hidden="false" customHeight="false" outlineLevel="0" collapsed="false">
      <c r="A16" s="8" t="s">
        <v>293</v>
      </c>
      <c r="B16" s="8" t="s">
        <v>107</v>
      </c>
      <c r="C16" s="8" t="s">
        <v>294</v>
      </c>
      <c r="D16" s="7" t="n">
        <v>0</v>
      </c>
      <c r="E16" s="7" t="n">
        <v>1</v>
      </c>
      <c r="F16" s="7" t="n">
        <v>2</v>
      </c>
      <c r="G16" s="7" t="n">
        <f aca="false">E16*F16</f>
        <v>2</v>
      </c>
    </row>
    <row r="17" customFormat="false" ht="15" hidden="false" customHeight="false" outlineLevel="0" collapsed="false">
      <c r="A17" s="10" t="s">
        <v>295</v>
      </c>
      <c r="B17" s="10" t="s">
        <v>296</v>
      </c>
      <c r="C17" s="10" t="s">
        <v>297</v>
      </c>
      <c r="D17" s="9" t="n">
        <v>0</v>
      </c>
      <c r="E17" s="9" t="n">
        <v>2</v>
      </c>
      <c r="F17" s="9" t="n">
        <v>3</v>
      </c>
      <c r="G17" s="9" t="n">
        <f aca="false">E17*F17</f>
        <v>6</v>
      </c>
    </row>
    <row r="18" customFormat="false" ht="15" hidden="false" customHeight="false" outlineLevel="0" collapsed="false">
      <c r="A18" s="3" t="s">
        <v>298</v>
      </c>
      <c r="B18" s="21"/>
      <c r="C18" s="21"/>
      <c r="D18" s="3" t="n">
        <f aca="false">SUM(D10:D17)</f>
        <v>3</v>
      </c>
      <c r="E18" s="21"/>
      <c r="F18" s="21"/>
      <c r="G18" s="3" t="n">
        <f aca="false">SUM(G10:G17)</f>
        <v>16</v>
      </c>
    </row>
    <row r="19" customFormat="false" ht="15" hidden="false" customHeight="false" outlineLevel="0" collapsed="false">
      <c r="A19" s="27" t="s">
        <v>299</v>
      </c>
      <c r="G19" s="28" t="n">
        <f aca="false">CEILING(G18*0.3,1)</f>
        <v>5</v>
      </c>
    </row>
    <row r="20" customFormat="false" ht="24" hidden="false" customHeight="true" outlineLevel="0" collapsed="false">
      <c r="A20" s="29" t="s">
        <v>300</v>
      </c>
      <c r="B20" s="29"/>
      <c r="C20" s="29"/>
      <c r="D20" s="29"/>
      <c r="E20" s="29"/>
      <c r="F20" s="29"/>
      <c r="G20" s="30" t="n">
        <f aca="false">G18+G19</f>
        <v>21</v>
      </c>
    </row>
    <row r="23" customFormat="false" ht="21.75" hidden="false" customHeight="true" outlineLevel="0" collapsed="false">
      <c r="A23" s="5" t="s">
        <v>301</v>
      </c>
      <c r="B23" s="5"/>
      <c r="C23" s="5"/>
      <c r="D23" s="5"/>
      <c r="E23" s="5"/>
      <c r="F23" s="5"/>
      <c r="G23" s="5"/>
    </row>
    <row r="24" customFormat="false" ht="25.5" hidden="false" customHeight="true" outlineLevel="0" collapsed="false">
      <c r="A24" s="6" t="s">
        <v>302</v>
      </c>
      <c r="B24" s="6" t="s">
        <v>303</v>
      </c>
      <c r="C24" s="6" t="s">
        <v>304</v>
      </c>
      <c r="D24" s="6" t="s">
        <v>305</v>
      </c>
      <c r="E24" s="6" t="s">
        <v>306</v>
      </c>
      <c r="F24" s="6" t="s">
        <v>307</v>
      </c>
      <c r="G24" s="6" t="s">
        <v>308</v>
      </c>
    </row>
    <row r="25" customFormat="false" ht="48" hidden="false" customHeight="true" outlineLevel="0" collapsed="false">
      <c r="A25" s="8" t="s">
        <v>309</v>
      </c>
      <c r="B25" s="8" t="s">
        <v>310</v>
      </c>
      <c r="C25" s="7" t="s">
        <v>311</v>
      </c>
      <c r="D25" s="8" t="s">
        <v>312</v>
      </c>
      <c r="E25" s="7" t="s">
        <v>313</v>
      </c>
      <c r="F25" s="7" t="s">
        <v>314</v>
      </c>
      <c r="G25" s="8" t="s">
        <v>315</v>
      </c>
    </row>
    <row r="26" customFormat="false" ht="48" hidden="false" customHeight="true" outlineLevel="0" collapsed="false">
      <c r="A26" s="10" t="s">
        <v>316</v>
      </c>
      <c r="B26" s="10" t="s">
        <v>317</v>
      </c>
      <c r="C26" s="9" t="s">
        <v>318</v>
      </c>
      <c r="D26" s="10" t="s">
        <v>319</v>
      </c>
      <c r="E26" s="9" t="s">
        <v>320</v>
      </c>
      <c r="F26" s="9" t="s">
        <v>321</v>
      </c>
      <c r="G26" s="10" t="s">
        <v>322</v>
      </c>
    </row>
    <row r="27" customFormat="false" ht="48" hidden="false" customHeight="true" outlineLevel="0" collapsed="false">
      <c r="A27" s="31" t="s">
        <v>323</v>
      </c>
      <c r="B27" s="31" t="s">
        <v>324</v>
      </c>
      <c r="C27" s="32" t="s">
        <v>325</v>
      </c>
      <c r="D27" s="17" t="s">
        <v>326</v>
      </c>
      <c r="E27" s="32" t="s">
        <v>327</v>
      </c>
      <c r="F27" s="32" t="s">
        <v>328</v>
      </c>
      <c r="G27" s="17" t="s">
        <v>329</v>
      </c>
    </row>
    <row r="28" customFormat="false" ht="48" hidden="false" customHeight="true" outlineLevel="0" collapsed="false">
      <c r="A28" s="10" t="s">
        <v>330</v>
      </c>
      <c r="B28" s="10" t="s">
        <v>331</v>
      </c>
      <c r="C28" s="9" t="s">
        <v>332</v>
      </c>
      <c r="D28" s="10" t="s">
        <v>333</v>
      </c>
      <c r="E28" s="9" t="s">
        <v>334</v>
      </c>
      <c r="F28" s="9" t="s">
        <v>335</v>
      </c>
      <c r="G28" s="10" t="s">
        <v>336</v>
      </c>
    </row>
    <row r="31" customFormat="false" ht="15" hidden="false" customHeight="false" outlineLevel="0" collapsed="false">
      <c r="A31" s="12" t="s">
        <v>337</v>
      </c>
      <c r="B31" s="12"/>
      <c r="C31" s="12"/>
      <c r="D31" s="12"/>
      <c r="E31" s="12"/>
      <c r="F31" s="12"/>
      <c r="G31" s="12"/>
    </row>
    <row r="32" customFormat="false" ht="19.5" hidden="false" customHeight="true" outlineLevel="0" collapsed="false">
      <c r="A32" s="33" t="s">
        <v>338</v>
      </c>
      <c r="B32" s="33"/>
      <c r="C32" s="33"/>
      <c r="D32" s="33"/>
      <c r="E32" s="33"/>
      <c r="F32" s="33"/>
      <c r="G32" s="33"/>
    </row>
    <row r="33" customFormat="false" ht="19.5" hidden="false" customHeight="true" outlineLevel="0" collapsed="false">
      <c r="A33" s="33" t="s">
        <v>339</v>
      </c>
      <c r="B33" s="33"/>
      <c r="C33" s="33"/>
      <c r="D33" s="33"/>
      <c r="E33" s="33"/>
      <c r="F33" s="33"/>
      <c r="G33" s="33"/>
    </row>
    <row r="34" customFormat="false" ht="19.5" hidden="false" customHeight="true" outlineLevel="0" collapsed="false">
      <c r="A34" s="33" t="s">
        <v>340</v>
      </c>
      <c r="B34" s="33"/>
      <c r="C34" s="33"/>
      <c r="D34" s="33"/>
      <c r="E34" s="33"/>
      <c r="F34" s="33"/>
      <c r="G34" s="33"/>
    </row>
    <row r="35" customFormat="false" ht="19.5" hidden="false" customHeight="true" outlineLevel="0" collapsed="false">
      <c r="A35" s="33" t="s">
        <v>341</v>
      </c>
      <c r="B35" s="33"/>
      <c r="C35" s="33"/>
      <c r="D35" s="33"/>
      <c r="E35" s="33"/>
      <c r="F35" s="33"/>
      <c r="G35" s="33"/>
    </row>
    <row r="36" customFormat="false" ht="19.5" hidden="false" customHeight="true" outlineLevel="0" collapsed="false">
      <c r="A36" s="33" t="s">
        <v>342</v>
      </c>
      <c r="B36" s="33"/>
      <c r="C36" s="33"/>
      <c r="D36" s="33"/>
      <c r="E36" s="33"/>
      <c r="F36" s="33"/>
      <c r="G36" s="33"/>
    </row>
    <row r="37" customFormat="false" ht="19.5" hidden="false" customHeight="true" outlineLevel="0" collapsed="false">
      <c r="A37" s="33" t="s">
        <v>343</v>
      </c>
      <c r="B37" s="33"/>
      <c r="C37" s="33"/>
      <c r="D37" s="33"/>
      <c r="E37" s="33"/>
      <c r="F37" s="33"/>
      <c r="G37" s="33"/>
    </row>
    <row r="38" customFormat="false" ht="19.5" hidden="false" customHeight="true" outlineLevel="0" collapsed="false">
      <c r="A38" s="33" t="s">
        <v>344</v>
      </c>
      <c r="B38" s="33"/>
      <c r="C38" s="33"/>
      <c r="D38" s="33"/>
      <c r="E38" s="33"/>
      <c r="F38" s="33"/>
      <c r="G38" s="33"/>
    </row>
    <row r="39" customFormat="false" ht="19.5" hidden="false" customHeight="true" outlineLevel="0" collapsed="false">
      <c r="A39" s="33" t="s">
        <v>345</v>
      </c>
      <c r="B39" s="33"/>
      <c r="C39" s="33"/>
      <c r="D39" s="33"/>
      <c r="E39" s="33"/>
      <c r="F39" s="33"/>
      <c r="G39" s="33"/>
    </row>
  </sheetData>
  <mergeCells count="17">
    <mergeCell ref="A1:G1"/>
    <mergeCell ref="A3:G3"/>
    <mergeCell ref="A4:G4"/>
    <mergeCell ref="A5:G5"/>
    <mergeCell ref="A6:G6"/>
    <mergeCell ref="A8:G8"/>
    <mergeCell ref="A20:F20"/>
    <mergeCell ref="A23:G23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22"/>
  </cols>
  <sheetData>
    <row r="1" customFormat="false" ht="24" hidden="false" customHeight="true" outlineLevel="0" collapsed="false">
      <c r="A1" s="5" t="s">
        <v>346</v>
      </c>
      <c r="B1" s="5"/>
      <c r="C1" s="5"/>
      <c r="D1" s="5"/>
    </row>
    <row r="2" customFormat="false" ht="15" hidden="false" customHeight="false" outlineLevel="0" collapsed="false">
      <c r="A2" s="2" t="s">
        <v>347</v>
      </c>
      <c r="B2" s="2"/>
      <c r="C2" s="2"/>
      <c r="D2" s="2"/>
    </row>
    <row r="4" customFormat="false" ht="15" hidden="false" customHeight="false" outlineLevel="0" collapsed="false">
      <c r="A4" s="6" t="s">
        <v>27</v>
      </c>
      <c r="B4" s="6" t="s">
        <v>348</v>
      </c>
      <c r="C4" s="6" t="s">
        <v>349</v>
      </c>
      <c r="D4" s="6" t="s">
        <v>350</v>
      </c>
    </row>
    <row r="5" customFormat="false" ht="31.5" hidden="false" customHeight="true" outlineLevel="0" collapsed="false">
      <c r="A5" s="7" t="n">
        <v>1</v>
      </c>
      <c r="B5" s="8" t="s">
        <v>351</v>
      </c>
      <c r="C5" s="8" t="s">
        <v>352</v>
      </c>
      <c r="D5" s="8" t="s">
        <v>353</v>
      </c>
    </row>
    <row r="6" customFormat="false" ht="31.5" hidden="false" customHeight="true" outlineLevel="0" collapsed="false">
      <c r="A6" s="9" t="n">
        <v>2</v>
      </c>
      <c r="B6" s="10" t="s">
        <v>354</v>
      </c>
      <c r="C6" s="10" t="s">
        <v>355</v>
      </c>
      <c r="D6" s="10" t="s">
        <v>353</v>
      </c>
    </row>
    <row r="7" customFormat="false" ht="31.5" hidden="false" customHeight="true" outlineLevel="0" collapsed="false">
      <c r="A7" s="7" t="n">
        <v>3</v>
      </c>
      <c r="B7" s="8" t="s">
        <v>356</v>
      </c>
      <c r="C7" s="8" t="s">
        <v>357</v>
      </c>
      <c r="D7" s="8" t="s">
        <v>353</v>
      </c>
    </row>
    <row r="8" customFormat="false" ht="31.5" hidden="false" customHeight="true" outlineLevel="0" collapsed="false">
      <c r="A8" s="9" t="n">
        <v>4</v>
      </c>
      <c r="B8" s="10" t="s">
        <v>358</v>
      </c>
      <c r="C8" s="10" t="s">
        <v>359</v>
      </c>
      <c r="D8" s="10" t="s">
        <v>353</v>
      </c>
    </row>
    <row r="9" customFormat="false" ht="31.5" hidden="false" customHeight="true" outlineLevel="0" collapsed="false">
      <c r="A9" s="7" t="n">
        <v>5</v>
      </c>
      <c r="B9" s="8" t="s">
        <v>360</v>
      </c>
      <c r="C9" s="8" t="s">
        <v>361</v>
      </c>
      <c r="D9" s="8" t="s">
        <v>362</v>
      </c>
    </row>
    <row r="10" customFormat="false" ht="31.5" hidden="false" customHeight="true" outlineLevel="0" collapsed="false">
      <c r="A10" s="9" t="n">
        <v>6</v>
      </c>
      <c r="B10" s="10" t="s">
        <v>363</v>
      </c>
      <c r="C10" s="10" t="s">
        <v>364</v>
      </c>
      <c r="D10" s="10" t="s">
        <v>365</v>
      </c>
    </row>
    <row r="11" customFormat="false" ht="31.5" hidden="false" customHeight="true" outlineLevel="0" collapsed="false">
      <c r="A11" s="7" t="n">
        <v>7</v>
      </c>
      <c r="B11" s="8" t="s">
        <v>366</v>
      </c>
      <c r="C11" s="8" t="s">
        <v>367</v>
      </c>
      <c r="D11" s="8" t="s">
        <v>365</v>
      </c>
    </row>
    <row r="12" customFormat="false" ht="31.5" hidden="false" customHeight="true" outlineLevel="0" collapsed="false">
      <c r="A12" s="9" t="n">
        <v>8</v>
      </c>
      <c r="B12" s="10" t="s">
        <v>368</v>
      </c>
      <c r="C12" s="10" t="s">
        <v>369</v>
      </c>
      <c r="D12" s="10" t="s">
        <v>365</v>
      </c>
    </row>
    <row r="13" customFormat="false" ht="31.5" hidden="false" customHeight="true" outlineLevel="0" collapsed="false">
      <c r="A13" s="7" t="n">
        <v>9</v>
      </c>
      <c r="B13" s="8" t="s">
        <v>370</v>
      </c>
      <c r="C13" s="8" t="s">
        <v>371</v>
      </c>
      <c r="D13" s="8" t="s">
        <v>365</v>
      </c>
    </row>
    <row r="14" customFormat="false" ht="31.5" hidden="false" customHeight="true" outlineLevel="0" collapsed="false">
      <c r="A14" s="9" t="n">
        <v>10</v>
      </c>
      <c r="B14" s="10" t="s">
        <v>372</v>
      </c>
      <c r="C14" s="10" t="s">
        <v>373</v>
      </c>
      <c r="D14" s="10" t="s">
        <v>374</v>
      </c>
    </row>
    <row r="15" customFormat="false" ht="31.5" hidden="false" customHeight="true" outlineLevel="0" collapsed="false">
      <c r="A15" s="7" t="n">
        <v>11</v>
      </c>
      <c r="B15" s="8" t="s">
        <v>375</v>
      </c>
      <c r="C15" s="8" t="s">
        <v>376</v>
      </c>
      <c r="D15" s="8" t="s">
        <v>374</v>
      </c>
    </row>
    <row r="16" customFormat="false" ht="31.5" hidden="false" customHeight="true" outlineLevel="0" collapsed="false">
      <c r="A16" s="9" t="n">
        <v>12</v>
      </c>
      <c r="B16" s="10" t="s">
        <v>377</v>
      </c>
      <c r="C16" s="10" t="s">
        <v>378</v>
      </c>
      <c r="D16" s="10" t="s">
        <v>353</v>
      </c>
    </row>
    <row r="17" customFormat="false" ht="31.5" hidden="false" customHeight="true" outlineLevel="0" collapsed="false">
      <c r="A17" s="7" t="n">
        <v>13</v>
      </c>
      <c r="B17" s="8" t="s">
        <v>379</v>
      </c>
      <c r="C17" s="8" t="s">
        <v>380</v>
      </c>
      <c r="D17" s="8" t="s">
        <v>381</v>
      </c>
    </row>
    <row r="18" customFormat="false" ht="31.5" hidden="false" customHeight="true" outlineLevel="0" collapsed="false">
      <c r="A18" s="9" t="n">
        <v>14</v>
      </c>
      <c r="B18" s="10" t="s">
        <v>382</v>
      </c>
      <c r="C18" s="10" t="s">
        <v>383</v>
      </c>
      <c r="D18" s="10" t="s">
        <v>384</v>
      </c>
    </row>
    <row r="19" customFormat="false" ht="31.5" hidden="false" customHeight="true" outlineLevel="0" collapsed="false">
      <c r="A19" s="7" t="n">
        <v>15</v>
      </c>
      <c r="B19" s="8" t="s">
        <v>385</v>
      </c>
      <c r="C19" s="8" t="s">
        <v>386</v>
      </c>
      <c r="D19" s="8" t="s">
        <v>384</v>
      </c>
    </row>
    <row r="20" customFormat="false" ht="31.5" hidden="false" customHeight="true" outlineLevel="0" collapsed="false">
      <c r="A20" s="9" t="n">
        <v>16</v>
      </c>
      <c r="B20" s="10" t="s">
        <v>387</v>
      </c>
      <c r="C20" s="10" t="s">
        <v>388</v>
      </c>
      <c r="D20" s="10" t="s">
        <v>389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22"/>
  </cols>
  <sheetData>
    <row r="1" customFormat="false" ht="24" hidden="false" customHeight="true" outlineLevel="0" collapsed="false">
      <c r="A1" s="5" t="s">
        <v>390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2" t="s">
        <v>391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6" t="s">
        <v>62</v>
      </c>
      <c r="B4" s="6" t="s">
        <v>392</v>
      </c>
      <c r="C4" s="6" t="s">
        <v>393</v>
      </c>
      <c r="D4" s="6" t="s">
        <v>65</v>
      </c>
      <c r="E4" s="6" t="s">
        <v>394</v>
      </c>
      <c r="F4" s="6" t="s">
        <v>66</v>
      </c>
      <c r="G4" s="6" t="s">
        <v>68</v>
      </c>
      <c r="H4" s="6" t="s">
        <v>395</v>
      </c>
    </row>
    <row r="5" customFormat="false" ht="19.5" hidden="false" customHeight="true" outlineLevel="0" collapsed="false">
      <c r="A5" s="34" t="s">
        <v>396</v>
      </c>
      <c r="B5" s="34"/>
      <c r="C5" s="34"/>
      <c r="D5" s="34"/>
      <c r="E5" s="34"/>
      <c r="F5" s="34"/>
      <c r="G5" s="34"/>
      <c r="H5" s="34"/>
    </row>
    <row r="6" customFormat="false" ht="30" hidden="false" customHeight="true" outlineLevel="0" collapsed="false">
      <c r="A6" s="7" t="s">
        <v>397</v>
      </c>
      <c r="B6" s="7" t="s">
        <v>398</v>
      </c>
      <c r="C6" s="17" t="s">
        <v>399</v>
      </c>
      <c r="D6" s="8" t="s">
        <v>400</v>
      </c>
      <c r="E6" s="8" t="s">
        <v>401</v>
      </c>
      <c r="F6" s="7" t="n">
        <v>5</v>
      </c>
      <c r="G6" s="8" t="s">
        <v>402</v>
      </c>
      <c r="H6" s="8" t="s">
        <v>403</v>
      </c>
    </row>
    <row r="7" customFormat="false" ht="30" hidden="false" customHeight="true" outlineLevel="0" collapsed="false">
      <c r="A7" s="7" t="s">
        <v>404</v>
      </c>
      <c r="B7" s="7" t="s">
        <v>398</v>
      </c>
      <c r="C7" s="17" t="s">
        <v>405</v>
      </c>
      <c r="D7" s="8" t="s">
        <v>406</v>
      </c>
      <c r="E7" s="8" t="s">
        <v>407</v>
      </c>
      <c r="F7" s="7" t="n">
        <v>1</v>
      </c>
      <c r="G7" s="8" t="s">
        <v>408</v>
      </c>
      <c r="H7" s="8" t="s">
        <v>403</v>
      </c>
    </row>
    <row r="8" customFormat="false" ht="30" hidden="false" customHeight="true" outlineLevel="0" collapsed="false">
      <c r="A8" s="7" t="s">
        <v>409</v>
      </c>
      <c r="B8" s="7" t="s">
        <v>398</v>
      </c>
      <c r="C8" s="17" t="s">
        <v>410</v>
      </c>
      <c r="D8" s="8" t="s">
        <v>411</v>
      </c>
      <c r="E8" s="8" t="s">
        <v>401</v>
      </c>
      <c r="F8" s="7" t="n">
        <v>1</v>
      </c>
      <c r="G8" s="8" t="s">
        <v>412</v>
      </c>
      <c r="H8" s="8" t="s">
        <v>413</v>
      </c>
    </row>
    <row r="9" customFormat="false" ht="30" hidden="false" customHeight="true" outlineLevel="0" collapsed="false">
      <c r="A9" s="7" t="s">
        <v>414</v>
      </c>
      <c r="B9" s="7" t="s">
        <v>398</v>
      </c>
      <c r="C9" s="17" t="s">
        <v>415</v>
      </c>
      <c r="D9" s="8" t="s">
        <v>416</v>
      </c>
      <c r="E9" s="8" t="s">
        <v>417</v>
      </c>
      <c r="F9" s="7" t="n">
        <v>1</v>
      </c>
      <c r="G9" s="8" t="s">
        <v>418</v>
      </c>
      <c r="H9" s="8" t="s">
        <v>419</v>
      </c>
    </row>
    <row r="10" customFormat="false" ht="30" hidden="false" customHeight="true" outlineLevel="0" collapsed="false">
      <c r="A10" s="7" t="s">
        <v>420</v>
      </c>
      <c r="B10" s="7" t="s">
        <v>398</v>
      </c>
      <c r="C10" s="17" t="s">
        <v>421</v>
      </c>
      <c r="D10" s="18" t="s">
        <v>422</v>
      </c>
      <c r="E10" s="8" t="s">
        <v>401</v>
      </c>
      <c r="F10" s="7" t="n">
        <v>1</v>
      </c>
      <c r="G10" s="8" t="s">
        <v>423</v>
      </c>
      <c r="H10" s="8" t="s">
        <v>424</v>
      </c>
    </row>
    <row r="11" customFormat="false" ht="30" hidden="false" customHeight="true" outlineLevel="0" collapsed="false">
      <c r="A11" s="7" t="s">
        <v>425</v>
      </c>
      <c r="B11" s="7" t="s">
        <v>398</v>
      </c>
      <c r="C11" s="17" t="s">
        <v>426</v>
      </c>
      <c r="D11" s="8" t="s">
        <v>427</v>
      </c>
      <c r="E11" s="8" t="s">
        <v>401</v>
      </c>
      <c r="F11" s="7" t="n">
        <v>1</v>
      </c>
      <c r="G11" s="8" t="s">
        <v>428</v>
      </c>
      <c r="H11" s="8" t="s">
        <v>413</v>
      </c>
    </row>
    <row r="13" customFormat="false" ht="19.5" hidden="false" customHeight="true" outlineLevel="0" collapsed="false">
      <c r="A13" s="34" t="s">
        <v>429</v>
      </c>
      <c r="B13" s="34"/>
      <c r="C13" s="34"/>
      <c r="D13" s="34"/>
      <c r="E13" s="34"/>
      <c r="F13" s="34"/>
      <c r="G13" s="34"/>
      <c r="H13" s="34"/>
    </row>
    <row r="14" customFormat="false" ht="30" hidden="false" customHeight="true" outlineLevel="0" collapsed="false">
      <c r="A14" s="7" t="s">
        <v>430</v>
      </c>
      <c r="B14" s="7" t="s">
        <v>431</v>
      </c>
      <c r="C14" s="17" t="s">
        <v>432</v>
      </c>
      <c r="D14" s="8" t="s">
        <v>433</v>
      </c>
      <c r="E14" s="8" t="s">
        <v>434</v>
      </c>
      <c r="F14" s="7" t="n">
        <v>2</v>
      </c>
      <c r="G14" s="8" t="s">
        <v>435</v>
      </c>
      <c r="H14" s="8" t="s">
        <v>436</v>
      </c>
    </row>
    <row r="15" customFormat="false" ht="30" hidden="false" customHeight="true" outlineLevel="0" collapsed="false">
      <c r="A15" s="7" t="s">
        <v>437</v>
      </c>
      <c r="B15" s="7" t="s">
        <v>431</v>
      </c>
      <c r="C15" s="17" t="s">
        <v>438</v>
      </c>
      <c r="D15" s="8" t="s">
        <v>439</v>
      </c>
      <c r="E15" s="8" t="s">
        <v>440</v>
      </c>
      <c r="F15" s="7" t="n">
        <v>1</v>
      </c>
      <c r="G15" s="8" t="s">
        <v>441</v>
      </c>
      <c r="H15" s="8" t="s">
        <v>424</v>
      </c>
    </row>
    <row r="16" customFormat="false" ht="30" hidden="false" customHeight="true" outlineLevel="0" collapsed="false">
      <c r="A16" s="7" t="s">
        <v>442</v>
      </c>
      <c r="B16" s="7" t="s">
        <v>431</v>
      </c>
      <c r="C16" s="17" t="s">
        <v>443</v>
      </c>
      <c r="D16" s="8" t="s">
        <v>444</v>
      </c>
      <c r="E16" s="8" t="s">
        <v>445</v>
      </c>
      <c r="F16" s="7" t="n">
        <v>1</v>
      </c>
      <c r="G16" s="8" t="s">
        <v>446</v>
      </c>
      <c r="H16" s="8" t="s">
        <v>424</v>
      </c>
    </row>
    <row r="17" customFormat="false" ht="30" hidden="false" customHeight="true" outlineLevel="0" collapsed="false">
      <c r="A17" s="7" t="s">
        <v>447</v>
      </c>
      <c r="B17" s="7" t="s">
        <v>431</v>
      </c>
      <c r="C17" s="17" t="s">
        <v>448</v>
      </c>
      <c r="D17" s="8" t="s">
        <v>449</v>
      </c>
      <c r="E17" s="8" t="s">
        <v>450</v>
      </c>
      <c r="F17" s="7" t="n">
        <v>1</v>
      </c>
      <c r="G17" s="8" t="s">
        <v>451</v>
      </c>
      <c r="H17" s="8" t="s">
        <v>452</v>
      </c>
    </row>
    <row r="18" customFormat="false" ht="30" hidden="false" customHeight="true" outlineLevel="0" collapsed="false">
      <c r="A18" s="7" t="s">
        <v>453</v>
      </c>
      <c r="B18" s="7" t="s">
        <v>431</v>
      </c>
      <c r="C18" s="8" t="s">
        <v>454</v>
      </c>
      <c r="D18" s="8" t="s">
        <v>455</v>
      </c>
      <c r="E18" s="18" t="s">
        <v>81</v>
      </c>
      <c r="F18" s="35" t="s">
        <v>81</v>
      </c>
      <c r="G18" s="8" t="s">
        <v>456</v>
      </c>
      <c r="H18" s="8" t="s">
        <v>107</v>
      </c>
    </row>
    <row r="20" customFormat="false" ht="19.5" hidden="false" customHeight="true" outlineLevel="0" collapsed="false">
      <c r="A20" s="34" t="s">
        <v>457</v>
      </c>
      <c r="B20" s="34"/>
      <c r="C20" s="34"/>
      <c r="D20" s="34"/>
      <c r="E20" s="34"/>
      <c r="F20" s="34"/>
      <c r="G20" s="34"/>
      <c r="H20" s="34"/>
    </row>
    <row r="21" customFormat="false" ht="30" hidden="false" customHeight="true" outlineLevel="0" collapsed="false">
      <c r="A21" s="7" t="s">
        <v>458</v>
      </c>
      <c r="B21" s="7" t="s">
        <v>457</v>
      </c>
      <c r="C21" s="17" t="s">
        <v>459</v>
      </c>
      <c r="D21" s="8" t="s">
        <v>460</v>
      </c>
      <c r="E21" s="8" t="s">
        <v>401</v>
      </c>
      <c r="F21" s="7" t="n">
        <v>1</v>
      </c>
      <c r="G21" s="8" t="s">
        <v>461</v>
      </c>
      <c r="H21" s="8" t="s">
        <v>462</v>
      </c>
    </row>
    <row r="22" customFormat="false" ht="30" hidden="false" customHeight="true" outlineLevel="0" collapsed="false">
      <c r="A22" s="7" t="s">
        <v>463</v>
      </c>
      <c r="B22" s="7" t="s">
        <v>457</v>
      </c>
      <c r="C22" s="17" t="s">
        <v>464</v>
      </c>
      <c r="D22" s="8" t="s">
        <v>465</v>
      </c>
      <c r="E22" s="8" t="s">
        <v>401</v>
      </c>
      <c r="F22" s="7" t="n">
        <v>1</v>
      </c>
      <c r="G22" s="8" t="s">
        <v>466</v>
      </c>
      <c r="H22" s="8" t="s">
        <v>424</v>
      </c>
    </row>
    <row r="23" customFormat="false" ht="30" hidden="false" customHeight="true" outlineLevel="0" collapsed="false">
      <c r="A23" s="7" t="s">
        <v>467</v>
      </c>
      <c r="B23" s="7" t="s">
        <v>457</v>
      </c>
      <c r="C23" s="17" t="s">
        <v>468</v>
      </c>
      <c r="D23" s="8" t="s">
        <v>465</v>
      </c>
      <c r="E23" s="8" t="s">
        <v>469</v>
      </c>
      <c r="F23" s="7" t="n">
        <v>1</v>
      </c>
      <c r="G23" s="8" t="s">
        <v>470</v>
      </c>
      <c r="H23" s="8" t="s">
        <v>424</v>
      </c>
    </row>
    <row r="25" customFormat="false" ht="19.5" hidden="false" customHeight="true" outlineLevel="0" collapsed="false">
      <c r="A25" s="34" t="s">
        <v>471</v>
      </c>
      <c r="B25" s="34"/>
      <c r="C25" s="34"/>
      <c r="D25" s="34"/>
      <c r="E25" s="34"/>
      <c r="F25" s="34"/>
      <c r="G25" s="34"/>
      <c r="H25" s="34"/>
    </row>
    <row r="26" customFormat="false" ht="30" hidden="false" customHeight="true" outlineLevel="0" collapsed="false">
      <c r="A26" s="7" t="s">
        <v>472</v>
      </c>
      <c r="B26" s="7" t="s">
        <v>473</v>
      </c>
      <c r="C26" s="17" t="s">
        <v>474</v>
      </c>
      <c r="D26" s="8" t="s">
        <v>475</v>
      </c>
      <c r="E26" s="8" t="s">
        <v>401</v>
      </c>
      <c r="F26" s="7" t="n">
        <v>1</v>
      </c>
      <c r="G26" s="8" t="s">
        <v>476</v>
      </c>
      <c r="H26" s="8" t="s">
        <v>477</v>
      </c>
    </row>
    <row r="28" customFormat="false" ht="19.5" hidden="false" customHeight="true" outlineLevel="0" collapsed="false">
      <c r="A28" s="34" t="s">
        <v>478</v>
      </c>
      <c r="B28" s="34"/>
      <c r="C28" s="34"/>
      <c r="D28" s="34"/>
      <c r="E28" s="34"/>
      <c r="F28" s="34"/>
      <c r="G28" s="34"/>
      <c r="H28" s="34"/>
    </row>
    <row r="29" customFormat="false" ht="30" hidden="false" customHeight="true" outlineLevel="0" collapsed="false">
      <c r="A29" s="7" t="s">
        <v>479</v>
      </c>
      <c r="B29" s="7" t="s">
        <v>480</v>
      </c>
      <c r="C29" s="17" t="s">
        <v>481</v>
      </c>
      <c r="D29" s="8" t="s">
        <v>482</v>
      </c>
      <c r="E29" s="8" t="s">
        <v>483</v>
      </c>
      <c r="F29" s="7" t="n">
        <v>1</v>
      </c>
      <c r="G29" s="8" t="s">
        <v>484</v>
      </c>
      <c r="H29" s="8" t="s">
        <v>485</v>
      </c>
    </row>
    <row r="31" customFormat="false" ht="19.5" hidden="false" customHeight="true" outlineLevel="0" collapsed="false">
      <c r="A31" s="34" t="s">
        <v>486</v>
      </c>
      <c r="B31" s="34"/>
      <c r="C31" s="34"/>
      <c r="D31" s="34"/>
      <c r="E31" s="34"/>
      <c r="F31" s="34"/>
      <c r="G31" s="34"/>
      <c r="H31" s="34"/>
    </row>
    <row r="32" customFormat="false" ht="30" hidden="false" customHeight="true" outlineLevel="0" collapsed="false">
      <c r="A32" s="7" t="s">
        <v>487</v>
      </c>
      <c r="B32" s="7" t="s">
        <v>488</v>
      </c>
      <c r="C32" s="17" t="s">
        <v>489</v>
      </c>
      <c r="D32" s="8" t="s">
        <v>490</v>
      </c>
      <c r="E32" s="8" t="s">
        <v>491</v>
      </c>
      <c r="F32" s="7" t="n">
        <v>4</v>
      </c>
      <c r="G32" s="8" t="s">
        <v>492</v>
      </c>
      <c r="H32" s="8" t="s">
        <v>493</v>
      </c>
    </row>
    <row r="33" customFormat="false" ht="30" hidden="false" customHeight="true" outlineLevel="0" collapsed="false">
      <c r="A33" s="7" t="s">
        <v>494</v>
      </c>
      <c r="B33" s="7" t="s">
        <v>488</v>
      </c>
      <c r="C33" s="17" t="s">
        <v>495</v>
      </c>
      <c r="D33" s="8" t="s">
        <v>490</v>
      </c>
      <c r="E33" s="8" t="s">
        <v>491</v>
      </c>
      <c r="F33" s="7" t="n">
        <v>4</v>
      </c>
      <c r="G33" s="8" t="s">
        <v>496</v>
      </c>
      <c r="H33" s="8" t="s">
        <v>493</v>
      </c>
    </row>
    <row r="35" customFormat="false" ht="19.5" hidden="false" customHeight="true" outlineLevel="0" collapsed="false">
      <c r="A35" s="34" t="s">
        <v>497</v>
      </c>
      <c r="B35" s="34"/>
      <c r="C35" s="34"/>
      <c r="D35" s="34"/>
      <c r="E35" s="34"/>
      <c r="F35" s="34"/>
      <c r="G35" s="34"/>
      <c r="H35" s="34"/>
    </row>
    <row r="36" customFormat="false" ht="30" hidden="false" customHeight="true" outlineLevel="0" collapsed="false">
      <c r="A36" s="7" t="s">
        <v>498</v>
      </c>
      <c r="B36" s="7" t="s">
        <v>499</v>
      </c>
      <c r="C36" s="17" t="s">
        <v>500</v>
      </c>
      <c r="D36" s="8" t="s">
        <v>501</v>
      </c>
      <c r="E36" s="8" t="s">
        <v>502</v>
      </c>
      <c r="F36" s="7" t="n">
        <v>1</v>
      </c>
      <c r="G36" s="8" t="s">
        <v>503</v>
      </c>
      <c r="H36" s="8" t="s">
        <v>504</v>
      </c>
    </row>
    <row r="37" customFormat="false" ht="30" hidden="false" customHeight="true" outlineLevel="0" collapsed="false">
      <c r="A37" s="7" t="s">
        <v>505</v>
      </c>
      <c r="B37" s="7" t="s">
        <v>499</v>
      </c>
      <c r="C37" s="17" t="s">
        <v>506</v>
      </c>
      <c r="D37" s="8" t="s">
        <v>507</v>
      </c>
      <c r="E37" s="8" t="s">
        <v>508</v>
      </c>
      <c r="F37" s="7" t="n">
        <v>1</v>
      </c>
      <c r="G37" s="8" t="s">
        <v>509</v>
      </c>
      <c r="H37" s="8" t="s">
        <v>510</v>
      </c>
    </row>
    <row r="38" customFormat="false" ht="30" hidden="false" customHeight="true" outlineLevel="0" collapsed="false">
      <c r="A38" s="7" t="s">
        <v>511</v>
      </c>
      <c r="B38" s="7" t="s">
        <v>499</v>
      </c>
      <c r="C38" s="17" t="s">
        <v>512</v>
      </c>
      <c r="D38" s="8" t="s">
        <v>513</v>
      </c>
      <c r="E38" s="8" t="s">
        <v>508</v>
      </c>
      <c r="F38" s="7" t="n">
        <v>1</v>
      </c>
      <c r="G38" s="8" t="s">
        <v>514</v>
      </c>
      <c r="H38" s="8" t="s">
        <v>452</v>
      </c>
    </row>
    <row r="39" customFormat="false" ht="30" hidden="false" customHeight="true" outlineLevel="0" collapsed="false">
      <c r="A39" s="7" t="s">
        <v>515</v>
      </c>
      <c r="B39" s="7" t="s">
        <v>499</v>
      </c>
      <c r="C39" s="17" t="s">
        <v>516</v>
      </c>
      <c r="D39" s="8" t="s">
        <v>517</v>
      </c>
      <c r="E39" s="8" t="s">
        <v>401</v>
      </c>
      <c r="F39" s="7" t="s">
        <v>518</v>
      </c>
      <c r="G39" s="8" t="s">
        <v>519</v>
      </c>
      <c r="H39" s="8" t="s">
        <v>510</v>
      </c>
    </row>
    <row r="41" customFormat="false" ht="19.5" hidden="false" customHeight="true" outlineLevel="0" collapsed="false">
      <c r="A41" s="34" t="s">
        <v>520</v>
      </c>
      <c r="B41" s="34"/>
      <c r="C41" s="34"/>
      <c r="D41" s="34"/>
      <c r="E41" s="34"/>
      <c r="F41" s="34"/>
      <c r="G41" s="34"/>
      <c r="H41" s="34"/>
    </row>
    <row r="42" customFormat="false" ht="30" hidden="false" customHeight="true" outlineLevel="0" collapsed="false">
      <c r="A42" s="7" t="s">
        <v>521</v>
      </c>
      <c r="B42" s="7" t="s">
        <v>522</v>
      </c>
      <c r="C42" s="17" t="s">
        <v>523</v>
      </c>
      <c r="D42" s="8" t="s">
        <v>524</v>
      </c>
      <c r="E42" s="8" t="s">
        <v>525</v>
      </c>
      <c r="F42" s="7" t="n">
        <v>1</v>
      </c>
      <c r="G42" s="8" t="s">
        <v>526</v>
      </c>
      <c r="H42" s="8" t="s">
        <v>452</v>
      </c>
    </row>
    <row r="43" customFormat="false" ht="30" hidden="false" customHeight="true" outlineLevel="0" collapsed="false">
      <c r="A43" s="7" t="s">
        <v>527</v>
      </c>
      <c r="B43" s="7" t="s">
        <v>522</v>
      </c>
      <c r="C43" s="17" t="s">
        <v>528</v>
      </c>
      <c r="D43" s="8" t="s">
        <v>529</v>
      </c>
      <c r="E43" s="8" t="s">
        <v>502</v>
      </c>
      <c r="F43" s="7" t="n">
        <v>1</v>
      </c>
      <c r="G43" s="8" t="s">
        <v>530</v>
      </c>
      <c r="H43" s="8" t="s">
        <v>531</v>
      </c>
    </row>
    <row r="45" customFormat="false" ht="19.5" hidden="false" customHeight="true" outlineLevel="0" collapsed="false">
      <c r="A45" s="34" t="s">
        <v>532</v>
      </c>
      <c r="B45" s="34"/>
      <c r="C45" s="34"/>
      <c r="D45" s="34"/>
      <c r="E45" s="34"/>
      <c r="F45" s="34"/>
      <c r="G45" s="34"/>
      <c r="H45" s="34"/>
    </row>
    <row r="46" customFormat="false" ht="30" hidden="false" customHeight="true" outlineLevel="0" collapsed="false">
      <c r="A46" s="7" t="s">
        <v>533</v>
      </c>
      <c r="B46" s="7" t="s">
        <v>534</v>
      </c>
      <c r="C46" s="8" t="s">
        <v>535</v>
      </c>
      <c r="D46" s="8" t="s">
        <v>536</v>
      </c>
      <c r="E46" s="8" t="s">
        <v>537</v>
      </c>
      <c r="F46" s="7" t="s">
        <v>538</v>
      </c>
      <c r="G46" s="8" t="s">
        <v>539</v>
      </c>
      <c r="H46" s="8" t="s">
        <v>107</v>
      </c>
    </row>
    <row r="47" customFormat="false" ht="30" hidden="false" customHeight="true" outlineLevel="0" collapsed="false">
      <c r="A47" s="7" t="s">
        <v>540</v>
      </c>
      <c r="B47" s="7" t="s">
        <v>534</v>
      </c>
      <c r="C47" s="8" t="s">
        <v>541</v>
      </c>
      <c r="D47" s="8" t="s">
        <v>542</v>
      </c>
      <c r="E47" s="18" t="s">
        <v>81</v>
      </c>
      <c r="F47" s="7" t="s">
        <v>543</v>
      </c>
      <c r="G47" s="8" t="s">
        <v>544</v>
      </c>
      <c r="H47" s="8" t="s">
        <v>107</v>
      </c>
    </row>
    <row r="48" customFormat="false" ht="30" hidden="false" customHeight="true" outlineLevel="0" collapsed="false">
      <c r="A48" s="7" t="s">
        <v>545</v>
      </c>
      <c r="B48" s="7" t="s">
        <v>534</v>
      </c>
      <c r="C48" s="8" t="s">
        <v>546</v>
      </c>
      <c r="D48" s="8" t="s">
        <v>547</v>
      </c>
      <c r="E48" s="8" t="s">
        <v>548</v>
      </c>
      <c r="F48" s="7" t="s">
        <v>538</v>
      </c>
      <c r="G48" s="8" t="s">
        <v>549</v>
      </c>
      <c r="H48" s="8" t="s">
        <v>107</v>
      </c>
    </row>
    <row r="49" customFormat="false" ht="30" hidden="false" customHeight="true" outlineLevel="0" collapsed="false">
      <c r="A49" s="7" t="s">
        <v>550</v>
      </c>
      <c r="B49" s="7" t="s">
        <v>534</v>
      </c>
      <c r="C49" s="8" t="s">
        <v>551</v>
      </c>
      <c r="D49" s="8" t="s">
        <v>552</v>
      </c>
      <c r="E49" s="8" t="s">
        <v>548</v>
      </c>
      <c r="F49" s="7" t="s">
        <v>538</v>
      </c>
      <c r="G49" s="8" t="s">
        <v>553</v>
      </c>
      <c r="H49" s="8" t="s">
        <v>107</v>
      </c>
    </row>
    <row r="50" customFormat="false" ht="30" hidden="false" customHeight="true" outlineLevel="0" collapsed="false">
      <c r="A50" s="7" t="s">
        <v>554</v>
      </c>
      <c r="B50" s="7" t="s">
        <v>534</v>
      </c>
      <c r="C50" s="8" t="s">
        <v>555</v>
      </c>
      <c r="D50" s="8" t="s">
        <v>556</v>
      </c>
      <c r="E50" s="8" t="s">
        <v>401</v>
      </c>
      <c r="F50" s="7" t="s">
        <v>538</v>
      </c>
      <c r="G50" s="8" t="s">
        <v>557</v>
      </c>
      <c r="H50" s="8" t="s">
        <v>107</v>
      </c>
    </row>
    <row r="52" customFormat="false" ht="19.5" hidden="false" customHeight="true" outlineLevel="0" collapsed="false">
      <c r="A52" s="34" t="s">
        <v>558</v>
      </c>
      <c r="B52" s="34"/>
      <c r="C52" s="34"/>
      <c r="D52" s="34"/>
      <c r="E52" s="34"/>
      <c r="F52" s="34"/>
      <c r="G52" s="34"/>
      <c r="H52" s="34"/>
    </row>
    <row r="53" customFormat="false" ht="30" hidden="false" customHeight="true" outlineLevel="0" collapsed="false">
      <c r="A53" s="7" t="s">
        <v>559</v>
      </c>
      <c r="B53" s="7" t="s">
        <v>560</v>
      </c>
      <c r="C53" s="8" t="s">
        <v>561</v>
      </c>
      <c r="D53" s="8" t="s">
        <v>562</v>
      </c>
      <c r="E53" s="18" t="s">
        <v>81</v>
      </c>
      <c r="F53" s="7" t="s">
        <v>563</v>
      </c>
      <c r="G53" s="8" t="s">
        <v>564</v>
      </c>
      <c r="H53" s="8" t="s">
        <v>107</v>
      </c>
    </row>
    <row r="54" customFormat="false" ht="30" hidden="false" customHeight="true" outlineLevel="0" collapsed="false">
      <c r="A54" s="7" t="s">
        <v>565</v>
      </c>
      <c r="B54" s="7" t="s">
        <v>560</v>
      </c>
      <c r="C54" s="8" t="s">
        <v>566</v>
      </c>
      <c r="D54" s="8" t="s">
        <v>567</v>
      </c>
      <c r="E54" s="8" t="s">
        <v>401</v>
      </c>
      <c r="F54" s="7" t="s">
        <v>563</v>
      </c>
      <c r="G54" s="8" t="s">
        <v>568</v>
      </c>
      <c r="H54" s="8" t="s">
        <v>107</v>
      </c>
    </row>
    <row r="55" customFormat="false" ht="30" hidden="false" customHeight="true" outlineLevel="0" collapsed="false">
      <c r="A55" s="7" t="s">
        <v>569</v>
      </c>
      <c r="B55" s="7" t="s">
        <v>560</v>
      </c>
      <c r="C55" s="8" t="s">
        <v>570</v>
      </c>
      <c r="D55" s="8" t="s">
        <v>571</v>
      </c>
      <c r="E55" s="18" t="s">
        <v>81</v>
      </c>
      <c r="F55" s="7" t="s">
        <v>572</v>
      </c>
      <c r="G55" s="8" t="s">
        <v>573</v>
      </c>
      <c r="H55" s="8" t="s">
        <v>107</v>
      </c>
    </row>
    <row r="58" customFormat="false" ht="15" hidden="false" customHeight="false" outlineLevel="0" collapsed="false">
      <c r="A58" s="12" t="s">
        <v>574</v>
      </c>
      <c r="B58" s="12"/>
      <c r="C58" s="12"/>
      <c r="D58" s="12"/>
      <c r="E58" s="12"/>
      <c r="F58" s="12"/>
      <c r="G58" s="12"/>
      <c r="H58" s="12"/>
    </row>
    <row r="59" customFormat="false" ht="19.5" hidden="false" customHeight="true" outlineLevel="0" collapsed="false">
      <c r="A59" s="33" t="s">
        <v>575</v>
      </c>
      <c r="B59" s="33"/>
      <c r="C59" s="33"/>
      <c r="D59" s="33"/>
      <c r="E59" s="33"/>
      <c r="F59" s="33"/>
      <c r="G59" s="33"/>
      <c r="H59" s="33"/>
    </row>
    <row r="60" customFormat="false" ht="19.5" hidden="false" customHeight="true" outlineLevel="0" collapsed="false">
      <c r="A60" s="33" t="s">
        <v>576</v>
      </c>
      <c r="B60" s="33"/>
      <c r="C60" s="33"/>
      <c r="D60" s="33"/>
      <c r="E60" s="33"/>
      <c r="F60" s="33"/>
      <c r="G60" s="33"/>
      <c r="H60" s="33"/>
    </row>
    <row r="61" customFormat="false" ht="19.5" hidden="false" customHeight="true" outlineLevel="0" collapsed="false">
      <c r="A61" s="33" t="s">
        <v>577</v>
      </c>
      <c r="B61" s="33"/>
      <c r="C61" s="33"/>
      <c r="D61" s="33"/>
      <c r="E61" s="33"/>
      <c r="F61" s="33"/>
      <c r="G61" s="33"/>
      <c r="H61" s="33"/>
    </row>
    <row r="62" customFormat="false" ht="19.5" hidden="false" customHeight="true" outlineLevel="0" collapsed="false">
      <c r="A62" s="33" t="s">
        <v>578</v>
      </c>
      <c r="B62" s="33"/>
      <c r="C62" s="33"/>
      <c r="D62" s="33"/>
      <c r="E62" s="33"/>
      <c r="F62" s="33"/>
      <c r="G62" s="33"/>
      <c r="H62" s="33"/>
    </row>
    <row r="63" customFormat="false" ht="19.5" hidden="false" customHeight="true" outlineLevel="0" collapsed="false">
      <c r="A63" s="33" t="s">
        <v>579</v>
      </c>
      <c r="B63" s="33"/>
      <c r="C63" s="33"/>
      <c r="D63" s="33"/>
      <c r="E63" s="33"/>
      <c r="F63" s="33"/>
      <c r="G63" s="33"/>
      <c r="H63" s="33"/>
    </row>
    <row r="64" customFormat="false" ht="19.5" hidden="false" customHeight="true" outlineLevel="0" collapsed="false">
      <c r="A64" s="33" t="s">
        <v>580</v>
      </c>
      <c r="B64" s="33"/>
      <c r="C64" s="33"/>
      <c r="D64" s="33"/>
      <c r="E64" s="33"/>
      <c r="F64" s="33"/>
      <c r="G64" s="33"/>
      <c r="H64" s="33"/>
    </row>
    <row r="65" customFormat="false" ht="19.5" hidden="false" customHeight="true" outlineLevel="0" collapsed="false">
      <c r="A65" s="33" t="s">
        <v>581</v>
      </c>
      <c r="B65" s="33"/>
      <c r="C65" s="33"/>
      <c r="D65" s="33"/>
      <c r="E65" s="33"/>
      <c r="F65" s="33"/>
      <c r="G65" s="33"/>
      <c r="H65" s="33"/>
    </row>
    <row r="66" customFormat="false" ht="19.5" hidden="false" customHeight="true" outlineLevel="0" collapsed="false">
      <c r="A66" s="33" t="s">
        <v>582</v>
      </c>
      <c r="B66" s="33"/>
      <c r="C66" s="33"/>
      <c r="D66" s="33"/>
      <c r="E66" s="33"/>
      <c r="F66" s="33"/>
      <c r="G66" s="33"/>
      <c r="H66" s="33"/>
    </row>
    <row r="67" customFormat="false" ht="19.5" hidden="false" customHeight="true" outlineLevel="0" collapsed="false">
      <c r="A67" s="33" t="s">
        <v>583</v>
      </c>
      <c r="B67" s="33"/>
      <c r="C67" s="33"/>
      <c r="D67" s="33"/>
      <c r="E67" s="33"/>
      <c r="F67" s="33"/>
      <c r="G67" s="33"/>
      <c r="H67" s="33"/>
    </row>
  </sheetData>
  <mergeCells count="22">
    <mergeCell ref="A1:H1"/>
    <mergeCell ref="A2:H2"/>
    <mergeCell ref="A5:H5"/>
    <mergeCell ref="A13:H13"/>
    <mergeCell ref="A20:H20"/>
    <mergeCell ref="A25:H25"/>
    <mergeCell ref="A28:H28"/>
    <mergeCell ref="A31:H31"/>
    <mergeCell ref="A35:H35"/>
    <mergeCell ref="A41:H41"/>
    <mergeCell ref="A45:H45"/>
    <mergeCell ref="A52:H52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2026-05-21T14:55:08Z</dcterms:created>
  <dc:creator>openpyxl</dc:creator>
  <dc:description/>
  <dc:language>en-US</dc:language>
  <cp:lastModifiedBy/>
  <dcterms:modified xsi:type="dcterms:W3CDTF">2026-05-21T14:55:08Z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